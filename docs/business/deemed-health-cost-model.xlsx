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evenue" sheetId="3" state="visible" r:id="rId5"/>
    <sheet name="Launch budget" sheetId="4" state="visible" r:id="rId6"/>
    <sheet name="Operating budget" sheetId="5" state="visible" r:id="rId7"/>
  </sheets>
  <definedNames>
    <definedName function="false" hidden="false" name="AIPerCust" vbProcedure="false">Assumptions!$B$27</definedName>
    <definedName function="false" hidden="false" name="AWSBase" vbProcedure="false">Assumptions!$B$25</definedName>
    <definedName function="false" hidden="false" name="AWSPerCust" vbProcedure="false">Assumptions!$B$26</definedName>
    <definedName function="false" hidden="false" name="Blended" vbProcedure="false">Assumptions!$B$32</definedName>
    <definedName function="false" hidden="false" name="BlendedImpl" vbProcedure="false">Assumptions!$B$33</definedName>
    <definedName function="false" hidden="false" name="Commission" vbProcedure="false">Assumptions!$B$24</definedName>
    <definedName function="false" hidden="false" name="ContLaunch" vbProcedure="false">Assumptions!$B$29</definedName>
    <definedName function="false" hidden="false" name="ContRun" vbProcedure="false">Assumptions!$B$30</definedName>
    <definedName function="false" hidden="false" name="Cust2027" vbProcedure="false">Assumptions!$B$17</definedName>
    <definedName function="false" hidden="false" name="Cust2028" vbProcedure="false">Assumptions!$B$18</definedName>
    <definedName function="false" hidden="false" name="Cust2029" vbProcedure="false">Assumptions!$B$19</definedName>
    <definedName function="false" hidden="false" name="Cust2030" vbProcedure="false">Assumptions!$B$20</definedName>
    <definedName function="false" hidden="false" name="Cust2031" vbProcedure="false">Assumptions!$B$21</definedName>
    <definedName function="false" hidden="false" name="ImplEnt" vbProcedure="false">Assumptions!$B$13</definedName>
    <definedName function="false" hidden="false" name="ImplEss" vbProcedure="false">Assumptions!$B$11</definedName>
    <definedName function="false" hidden="false" name="ImplPro" vbProcedure="false">Assumptions!$B$12</definedName>
    <definedName function="false" hidden="false" name="Load" vbProcedure="false">Assumptions!$B$22</definedName>
    <definedName function="false" hidden="false" name="Market" vbProcedure="false">Assumptions!$B$4</definedName>
    <definedName function="false" hidden="false" name="MixEnt" vbProcedure="false">Assumptions!$B$10</definedName>
    <definedName function="false" hidden="false" name="MixEss" vbProcedure="false">Assumptions!$B$8</definedName>
    <definedName function="false" hidden="false" name="MixPro" vbProcedure="false">Assumptions!$B$9</definedName>
    <definedName function="false" hidden="false" name="PayFee" vbProcedure="false">Assumptions!$B$28</definedName>
    <definedName function="false" hidden="false" name="PilotDisc" vbProcedure="false">Assumptions!$B$15</definedName>
    <definedName function="false" hidden="false" name="PilotMonths" vbProcedure="false">Assumptions!$B$16</definedName>
    <definedName function="false" hidden="false" name="PriceEnt" vbProcedure="false">Assumptions!$B$7</definedName>
    <definedName function="false" hidden="false" name="PriceEss" vbProcedure="false">Assumptions!$B$5</definedName>
    <definedName function="false" hidden="false" name="PricePro" vbProcedure="false">Assumptions!$B$6</definedName>
    <definedName function="false" hidden="false" name="Raise" vbProcedure="false">Assumptions!$B$23</definedName>
    <definedName function="false" hidden="false" name="Uplift" vbProcedure="false">Assumptions!$B$14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<sst xmlns="http://schemas.openxmlformats.org/spreadsheetml/2006/main" count="366" uniqueCount="232">
  <si>
    <t xml:space="preserve">Deemed Health · Financial summary</t>
  </si>
  <si>
    <t xml:space="preserve">Launch period = October 2026 – December 2027. Cash view; no financing income or taxes.</t>
  </si>
  <si>
    <t xml:space="preserve">Line</t>
  </si>
  <si>
    <t xml:space="preserve">Launch period</t>
  </si>
  <si>
    <t xml:space="preserve">2028</t>
  </si>
  <si>
    <t xml:space="preserve">2029</t>
  </si>
  <si>
    <t xml:space="preserve">2030</t>
  </si>
  <si>
    <t xml:space="preserve">2031</t>
  </si>
  <si>
    <t xml:space="preserve">Revenue</t>
  </si>
  <si>
    <t xml:space="preserve">Costs</t>
  </si>
  <si>
    <t xml:space="preserve">Net cash flow</t>
  </si>
  <si>
    <t xml:space="preserve">Cumulative cash position</t>
  </si>
  <si>
    <t xml:space="preserve">Year-end customers</t>
  </si>
  <si>
    <t xml:space="preserve">Annual recurring revenue at year end</t>
  </si>
  <si>
    <t xml:space="preserve">Customers needed to cover the year's costs</t>
  </si>
  <si>
    <t xml:space="preserve">Funding required (deepest cumulative cash position)</t>
  </si>
  <si>
    <t xml:space="preserve">Recommended raise (funding required + 6 months of 2028 costs)</t>
  </si>
  <si>
    <t xml:space="preserve">Deemed Health · Model assumptions</t>
  </si>
  <si>
    <t xml:space="preserve">Blue values are inputs. Every other sheet calculates from them.</t>
  </si>
  <si>
    <t xml:space="preserve">Input</t>
  </si>
  <si>
    <t xml:space="preserve">Value</t>
  </si>
  <si>
    <t xml:space="preserve">Note</t>
  </si>
  <si>
    <t xml:space="preserve">Florida FQHC organizations (HRSA awardees + Look-Alikes)</t>
  </si>
  <si>
    <t xml:space="preserve">Planning estimate; verify against HRSA UDS state data (data.hrsa.gov) before external use</t>
  </si>
  <si>
    <t xml:space="preserve">Essentials tier: annual subscription (&lt; 20,000 patients)</t>
  </si>
  <si>
    <t xml:space="preserve">Professional tier: annual subscription (20,000–60,000 patients)</t>
  </si>
  <si>
    <t xml:space="preserve">Enterprise tier: annual subscription (&gt; 60,000 patients)</t>
  </si>
  <si>
    <t xml:space="preserve">Customer mix: Essentials</t>
  </si>
  <si>
    <t xml:space="preserve">Customer mix: Professional</t>
  </si>
  <si>
    <t xml:space="preserve">Customer mix: Enterprise</t>
  </si>
  <si>
    <t xml:space="preserve">Implementation fee: Essentials (one-time)</t>
  </si>
  <si>
    <t xml:space="preserve">Data import, SSO, training</t>
  </si>
  <si>
    <t xml:space="preserve">Implementation fee: Professional (one-time)</t>
  </si>
  <si>
    <t xml:space="preserve">Implementation fee: Enterprise (one-time)</t>
  </si>
  <si>
    <t xml:space="preserve">Annual price increase (from 2029)</t>
  </si>
  <si>
    <t xml:space="preserve">Design-partner (pilot) discount</t>
  </si>
  <si>
    <t xml:space="preserve">Implementation fee waived for pilots</t>
  </si>
  <si>
    <t xml:space="preserve">Pilot months billed in 2027</t>
  </si>
  <si>
    <t xml:space="preserve">Jul–Dec 2027 (Phase 5)</t>
  </si>
  <si>
    <t xml:space="preserve">Customers at year end 2027 (pilots)</t>
  </si>
  <si>
    <t xml:space="preserve">Pilots convert to full price Jan 2028</t>
  </si>
  <si>
    <t xml:space="preserve">Customers at year end 2028</t>
  </si>
  <si>
    <t xml:space="preserve">General availability Jan 2028</t>
  </si>
  <si>
    <t xml:space="preserve">Customers at year end 2029</t>
  </si>
  <si>
    <t xml:space="preserve">Customers at year end 2030</t>
  </si>
  <si>
    <t xml:space="preserve">Customers at year end 2031</t>
  </si>
  <si>
    <t xml:space="preserve">Half of the Florida market</t>
  </si>
  <si>
    <t xml:space="preserve">Payroll taxes and benefits (% of salary)</t>
  </si>
  <si>
    <t xml:space="preserve">FICA, FUTA/RT-6, health, 401(k), workers' comp</t>
  </si>
  <si>
    <t xml:space="preserve">Annual salary increase</t>
  </si>
  <si>
    <t xml:space="preserve">Sales commission (% of first-year subscription)</t>
  </si>
  <si>
    <t xml:space="preserve">AWS fixed monthly run cost (prod + non-prod + security)</t>
  </si>
  <si>
    <t xml:space="preserve">ADR-0005 account layout, Multi-AZ, DR copies</t>
  </si>
  <si>
    <t xml:space="preserve">AWS monthly cost per customer</t>
  </si>
  <si>
    <t xml:space="preserve">Compute, storage, backups</t>
  </si>
  <si>
    <t xml:space="preserve">Claude API monthly cost per customer (Deemed Assistant)</t>
  </si>
  <si>
    <t xml:space="preserve">Briefs, intake, panel (Phase 6)</t>
  </si>
  <si>
    <t xml:space="preserve">Payment processing (% of revenue)</t>
  </si>
  <si>
    <t xml:space="preserve">Mostly ACH invoices</t>
  </si>
  <si>
    <t xml:space="preserve">Contingency on launch budget</t>
  </si>
  <si>
    <t xml:space="preserve">Contingency on operating budget</t>
  </si>
  <si>
    <t xml:space="preserve">Blended annual subscription (list price)</t>
  </si>
  <si>
    <t xml:space="preserve">Blended implementation fee</t>
  </si>
  <si>
    <t xml:space="preserve">Florida serviceable market at list price (annual)</t>
  </si>
  <si>
    <t xml:space="preserve">Deemed Health · Revenue build</t>
  </si>
  <si>
    <t xml:space="preserve">2027 is the paid pilot (design partners). General availability January 2028.</t>
  </si>
  <si>
    <t xml:space="preserve">Basis</t>
  </si>
  <si>
    <t xml:space="preserve">Customers at year start</t>
  </si>
  <si>
    <t xml:space="preserve">Prior year end</t>
  </si>
  <si>
    <t xml:space="preserve">Customers at year end</t>
  </si>
  <si>
    <t xml:space="preserve">Assumptions</t>
  </si>
  <si>
    <t xml:space="preserve">Average customers</t>
  </si>
  <si>
    <t xml:space="preserve">(Start + end) / 2</t>
  </si>
  <si>
    <t xml:space="preserve">List subscription per customer</t>
  </si>
  <si>
    <t xml:space="preserve">Blended × (1 + Uplift)^(year − 2028)</t>
  </si>
  <si>
    <t xml:space="preserve">Subscription revenue</t>
  </si>
  <si>
    <t xml:space="preserve">Average × list (2027: pilots at discount)</t>
  </si>
  <si>
    <t xml:space="preserve">New customers</t>
  </si>
  <si>
    <t xml:space="preserve">End − start</t>
  </si>
  <si>
    <t xml:space="preserve">Implementation revenue</t>
  </si>
  <si>
    <t xml:space="preserve">New × blended fee (waived for pilots)</t>
  </si>
  <si>
    <t xml:space="preserve">Total revenue</t>
  </si>
  <si>
    <t xml:space="preserve">End × list</t>
  </si>
  <si>
    <t xml:space="preserve">Share of Florida market</t>
  </si>
  <si>
    <t xml:space="preserve">End ÷ Market</t>
  </si>
  <si>
    <t xml:space="preserve">Deemed Health · Launch budget, October 2026 – December 2027</t>
  </si>
  <si>
    <t xml:space="preserve">Everything needed to reach general availability: Phases 1–5 and gates G1–G5 of the implementation roadmap.</t>
  </si>
  <si>
    <t xml:space="preserve">Category</t>
  </si>
  <si>
    <t xml:space="preserve">Item</t>
  </si>
  <si>
    <t xml:space="preserve">Unit cost</t>
  </si>
  <si>
    <t xml:space="preserve">Qty (months or units)</t>
  </si>
  <si>
    <t xml:space="preserve">Total</t>
  </si>
  <si>
    <t xml:space="preserve">Gate / phase</t>
  </si>
  <si>
    <t xml:space="preserve">People</t>
  </si>
  <si>
    <t xml:space="preserve">Founder / CEO and product owner (also HIPAA security and privacy officer)</t>
  </si>
  <si>
    <t xml:space="preserve">$120k/yr × 15 mo</t>
  </si>
  <si>
    <t xml:space="preserve">All</t>
  </si>
  <si>
    <t xml:space="preserve">Senior full-stack engineer (TypeScript, AWS)</t>
  </si>
  <si>
    <t xml:space="preserve">$170k/yr from Jan 2027</t>
  </si>
  <si>
    <t xml:space="preserve">P1–P5</t>
  </si>
  <si>
    <t xml:space="preserve">Implementation &amp; customer success lead (bilingual EN/ES, FQHC compliance)</t>
  </si>
  <si>
    <t xml:space="preserve">$95k/yr from Jun 2027</t>
  </si>
  <si>
    <t xml:space="preserve">P4–P5</t>
  </si>
  <si>
    <t xml:space="preserve">Sales &amp; partnerships lead (Florida FQHC network)</t>
  </si>
  <si>
    <t xml:space="preserve">$105k/yr from Oct 2027</t>
  </si>
  <si>
    <t xml:space="preserve">P5</t>
  </si>
  <si>
    <t xml:space="preserve">Payroll taxes and benefits</t>
  </si>
  <si>
    <t xml:space="preserve">Load × salaries above</t>
  </si>
  <si>
    <t xml:space="preserve">Fractional HRSA compliance advisor (catalog verification, OSV protocol)</t>
  </si>
  <si>
    <t xml:space="preserve">20 h/mo × $150</t>
  </si>
  <si>
    <t xml:space="preserve">G0–G5</t>
  </si>
  <si>
    <t xml:space="preserve">Fractional CISO / security advisor</t>
  </si>
  <si>
    <t xml:space="preserve">$3,500/mo from Jan 2027</t>
  </si>
  <si>
    <t xml:space="preserve">G1–G5</t>
  </si>
  <si>
    <t xml:space="preserve">Recruiting and background checks</t>
  </si>
  <si>
    <t xml:space="preserve">Per hire</t>
  </si>
  <si>
    <t xml:space="preserve">Professional services &amp; assurance</t>
  </si>
  <si>
    <t xml:space="preserve">Counsel: MSA, terms of service, customer BAA template, privacy policy</t>
  </si>
  <si>
    <t xml:space="preserve">Fixed fee</t>
  </si>
  <si>
    <t xml:space="preserve">G4</t>
  </si>
  <si>
    <t xml:space="preserve">Counsel: Florida privacy and breach memo (FIPA §501.171, §408.051)</t>
  </si>
  <si>
    <t xml:space="preserve">Counsel: HRSA, NPDB, and CVO regulatory memos (decision D3)</t>
  </si>
  <si>
    <t xml:space="preserve">G2</t>
  </si>
  <si>
    <t xml:space="preserve">Counsel: design-partner pilot agreement; pricing and contract review</t>
  </si>
  <si>
    <t xml:space="preserve">G5</t>
  </si>
  <si>
    <t xml:space="preserve">Counsel: employment, contractor, and IP assignment agreements</t>
  </si>
  <si>
    <t xml:space="preserve">P1</t>
  </si>
  <si>
    <t xml:space="preserve">Trademark: "Deemed Health" USPTO filing, 2 classes</t>
  </si>
  <si>
    <t xml:space="preserve">With attorney</t>
  </si>
  <si>
    <t xml:space="preserve">Independent penetration test, including retest</t>
  </si>
  <si>
    <t xml:space="preserve">Incident response tabletop facilitation</t>
  </si>
  <si>
    <t xml:space="preserve">SOC 2 Type I audit</t>
  </si>
  <si>
    <t xml:space="preserve">Audit firm</t>
  </si>
  <si>
    <t xml:space="preserve">External WCAG 2.1 AA accessibility audit</t>
  </si>
  <si>
    <t xml:space="preserve">Professional Spanish translation review (UI, help, templates)</t>
  </si>
  <si>
    <t xml:space="preserve">Technology &amp; infrastructure</t>
  </si>
  <si>
    <t xml:space="preserve">AWS non-production and security accounts</t>
  </si>
  <si>
    <t xml:space="preserve">From Jan 2027</t>
  </si>
  <si>
    <t xml:space="preserve">AWS production (Multi-AZ RDS, Fargate, WAF, GuardDuty, DR copies)</t>
  </si>
  <si>
    <t xml:space="preserve">From Apr 2027</t>
  </si>
  <si>
    <t xml:space="preserve">P4</t>
  </si>
  <si>
    <t xml:space="preserve">Netlify + Neon development environments (synthetic data)</t>
  </si>
  <si>
    <t xml:space="preserve">Monthly</t>
  </si>
  <si>
    <t xml:space="preserve">GitHub Team, Secret Protection, Code Security</t>
  </si>
  <si>
    <t xml:space="preserve">G0</t>
  </si>
  <si>
    <t xml:space="preserve">AI development tools (Claude plans for the build team)</t>
  </si>
  <si>
    <t xml:space="preserve">Claude API: Deemed Assistant evals on synthetic data</t>
  </si>
  <si>
    <t xml:space="preserve">From Jul 2027</t>
  </si>
  <si>
    <t xml:space="preserve">P6 prep</t>
  </si>
  <si>
    <t xml:space="preserve">Error tracking and APM under a BAA</t>
  </si>
  <si>
    <t xml:space="preserve">Transactional email under the AWS BAA (Amazon SES)</t>
  </si>
  <si>
    <t xml:space="preserve">Compliance automation platform (SOC 2 and HIPAA evidence)</t>
  </si>
  <si>
    <t xml:space="preserve">Workforce IT and security (Workspace, password manager, MDM, training)</t>
  </si>
  <si>
    <t xml:space="preserve">Laptops for new hires</t>
  </si>
  <si>
    <t xml:space="preserve">Hardware security keys (break-glass and workforce)</t>
  </si>
  <si>
    <t xml:space="preserve">One-time</t>
  </si>
  <si>
    <t xml:space="preserve">G1</t>
  </si>
  <si>
    <t xml:space="preserve">Business operations</t>
  </si>
  <si>
    <t xml:space="preserve">Cyber liability and technology E&amp;O insurance ($2M)</t>
  </si>
  <si>
    <t xml:space="preserve">Bound Apr 2027</t>
  </si>
  <si>
    <t xml:space="preserve">General liability / business owner's policy</t>
  </si>
  <si>
    <t xml:space="preserve">Accounting, bookkeeping, payroll service, tax filing</t>
  </si>
  <si>
    <t xml:space="preserve">Florida entity filings, registered agent, licenses</t>
  </si>
  <si>
    <t xml:space="preserve">Go-to-market</t>
  </si>
  <si>
    <t xml:space="preserve">Brand and bilingual marketing website</t>
  </si>
  <si>
    <t xml:space="preserve">Sales collateral, demo video, OSV-readiness guide</t>
  </si>
  <si>
    <t xml:space="preserve">CRM and sales tools</t>
  </si>
  <si>
    <t xml:space="preserve">FACHC conference and Florida events (2027)</t>
  </si>
  <si>
    <t xml:space="preserve">Booth, sponsorship</t>
  </si>
  <si>
    <t xml:space="preserve">Travel to pilot sites and prospects across Florida</t>
  </si>
  <si>
    <t xml:space="preserve">2027</t>
  </si>
  <si>
    <t xml:space="preserve">Digital marketing ahead of general availability</t>
  </si>
  <si>
    <t xml:space="preserve">Oct–Dec 2027</t>
  </si>
  <si>
    <t xml:space="preserve">Subtotal: People</t>
  </si>
  <si>
    <t xml:space="preserve">Subtotal: Professional services &amp; assurance</t>
  </si>
  <si>
    <t xml:space="preserve">Subtotal: Technology &amp; infrastructure</t>
  </si>
  <si>
    <t xml:space="preserve">Subtotal: Business operations</t>
  </si>
  <si>
    <t xml:space="preserve">Subtotal: Go-to-market</t>
  </si>
  <si>
    <t xml:space="preserve">Subtotal before contingency</t>
  </si>
  <si>
    <t xml:space="preserve">Contingency</t>
  </si>
  <si>
    <t xml:space="preserve">Total launch budget</t>
  </si>
  <si>
    <t xml:space="preserve">Deemed Health · Annual operating budget, 2028–2031</t>
  </si>
  <si>
    <t xml:space="preserve">Costs to run the business after general availability. Scaled lines follow the Revenue sheet.</t>
  </si>
  <si>
    <t xml:space="preserve">Founder / CEO and product owner</t>
  </si>
  <si>
    <t xml:space="preserve">$140k, +raise</t>
  </si>
  <si>
    <t xml:space="preserve">Senior full-stack engineer</t>
  </si>
  <si>
    <t xml:space="preserve">$177k, +raise</t>
  </si>
  <si>
    <t xml:space="preserve">Implementation &amp; customer success lead</t>
  </si>
  <si>
    <t xml:space="preserve">$99k, +raise</t>
  </si>
  <si>
    <t xml:space="preserve">Sales &amp; partnerships lead</t>
  </si>
  <si>
    <t xml:space="preserve">$109k base, +raise</t>
  </si>
  <si>
    <t xml:space="preserve">Bilingual implementation &amp; support specialist</t>
  </si>
  <si>
    <t xml:space="preserve">From 2029</t>
  </si>
  <si>
    <t xml:space="preserve">Load × salaries</t>
  </si>
  <si>
    <t xml:space="preserve">Sales commission</t>
  </si>
  <si>
    <t xml:space="preserve">Commission × new first-year value</t>
  </si>
  <si>
    <t xml:space="preserve">Fractional HRSA compliance advisor (regulatory watch, catalog changesets)</t>
  </si>
  <si>
    <t xml:space="preserve">$3,000/mo, +raise</t>
  </si>
  <si>
    <t xml:space="preserve">$3,500/mo</t>
  </si>
  <si>
    <t xml:space="preserve">Years with a hire</t>
  </si>
  <si>
    <t xml:space="preserve">AWS (production, non-production, security, DR)</t>
  </si>
  <si>
    <t xml:space="preserve">(Base + per customer) × 12</t>
  </si>
  <si>
    <t xml:space="preserve">Claude API for the Deemed Assistant (under BAA)</t>
  </si>
  <si>
    <t xml:space="preserve">Per customer × 12</t>
  </si>
  <si>
    <t xml:space="preserve">Error tracking, APM, and log management under BAA</t>
  </si>
  <si>
    <t xml:space="preserve">$400 + $15/customer per mo</t>
  </si>
  <si>
    <t xml:space="preserve">Transactional email (Amazon SES)</t>
  </si>
  <si>
    <t xml:space="preserve">Compliance automation platform</t>
  </si>
  <si>
    <t xml:space="preserve">Annual</t>
  </si>
  <si>
    <t xml:space="preserve">Engineering tools (GitHub, Claude plans, CI minutes)</t>
  </si>
  <si>
    <t xml:space="preserve">Workforce IT and security stack</t>
  </si>
  <si>
    <t xml:space="preserve">Per seat</t>
  </si>
  <si>
    <t xml:space="preserve">Equipment (new hires and refresh)</t>
  </si>
  <si>
    <t xml:space="preserve">Assurance &amp; professional</t>
  </si>
  <si>
    <t xml:space="preserve">SOC 2 Type II audit</t>
  </si>
  <si>
    <t xml:space="preserve">Annual penetration test</t>
  </si>
  <si>
    <t xml:space="preserve">Targeted penetration test of the assistant panel</t>
  </si>
  <si>
    <t xml:space="preserve">Phase 6 gate</t>
  </si>
  <si>
    <t xml:space="preserve">Accessibility re-audit and incident response tabletop</t>
  </si>
  <si>
    <t xml:space="preserve">Legal (customer contracts and BAAs, regulatory questions)</t>
  </si>
  <si>
    <t xml:space="preserve">Spanish translation of new content</t>
  </si>
  <si>
    <t xml:space="preserve">Cyber liability, tech E&amp;O, and general liability insurance</t>
  </si>
  <si>
    <t xml:space="preserve">Grows with revenue</t>
  </si>
  <si>
    <t xml:space="preserve">Accounting, tax, and payroll service</t>
  </si>
  <si>
    <t xml:space="preserve">Conferences and sponsorships (FACHC, NACHC)</t>
  </si>
  <si>
    <t xml:space="preserve">Digital marketing and content</t>
  </si>
  <si>
    <t xml:space="preserve">Travel (onsite implementation and sales in Florida)</t>
  </si>
  <si>
    <t xml:space="preserve">$12k + $1.5k per new customer</t>
  </si>
  <si>
    <t xml:space="preserve">Payment processing</t>
  </si>
  <si>
    <t xml:space="preserve">PayFee × revenue</t>
  </si>
  <si>
    <t xml:space="preserve">Subtotal: Assurance &amp; professional</t>
  </si>
  <si>
    <t xml:space="preserve">Total operating cost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</si>
</sst>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[RED]&quot;-$&quot;#,##0"/>
    <numFmt numFmtId="166" formatCode="0"/>
    <numFmt numFmtId="167" formatCode="0.0"/>
    <numFmt numFmtId="168" formatCode="\$#,##0"/>
    <numFmt numFmtId="169" formatCode="0%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43262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462B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3262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8F3FD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8F3FD"/>
      <rgbColor rgb="FF660066"/>
      <rgbColor rgb="FFFF8080"/>
      <rgbColor rgb="FF0462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432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5" hidden="false" customHeight="false" outlineLevel="0" collapsed="false">
      <c r="A4" s="4" t="s">
        <v>8</v>
      </c>
      <c r="B4" s="5" t="n">
        <f aca="false">Revenue!C11</f>
        <v>28800</v>
      </c>
      <c r="C4" s="5" t="n">
        <f aca="false">Revenue!D11</f>
        <v>360000</v>
      </c>
      <c r="D4" s="6" t="n">
        <f aca="false">Revenue!E11</f>
        <v>766272</v>
      </c>
      <c r="E4" s="6" t="n">
        <f aca="false">Revenue!F11</f>
        <v>1171941.12</v>
      </c>
      <c r="F4" s="6" t="n">
        <f aca="false">Revenue!G11</f>
        <v>1539115.2672</v>
      </c>
    </row>
    <row r="5" customFormat="false" ht="15" hidden="false" customHeight="false" outlineLevel="0" collapsed="false">
      <c r="A5" s="4" t="s">
        <v>9</v>
      </c>
      <c r="B5" s="5" t="n">
        <f aca="false">'Launch budget'!F53</f>
        <v>953167.219</v>
      </c>
      <c r="C5" s="5" t="n">
        <f aca="false">'Operating budget'!D42</f>
        <v>1149077.6</v>
      </c>
      <c r="D5" s="6" t="n">
        <f aca="false">'Operating budget'!E42</f>
        <v>1304903.16</v>
      </c>
      <c r="E5" s="6" t="n">
        <f aca="false">'Operating budget'!F42</f>
        <v>1376377.67872</v>
      </c>
      <c r="F5" s="6" t="n">
        <f aca="false">'Operating budget'!G42</f>
        <v>1425655.946616</v>
      </c>
    </row>
    <row r="6" customFormat="false" ht="15" hidden="false" customHeight="false" outlineLevel="0" collapsed="false">
      <c r="A6" s="4" t="s">
        <v>10</v>
      </c>
      <c r="B6" s="5" t="n">
        <f aca="false">B4-B5</f>
        <v>-924367.219</v>
      </c>
      <c r="C6" s="5" t="n">
        <f aca="false">C4-C5</f>
        <v>-789077.6</v>
      </c>
      <c r="D6" s="6" t="n">
        <f aca="false">D4-D5</f>
        <v>-538631.16</v>
      </c>
      <c r="E6" s="6" t="n">
        <f aca="false">E4-E5</f>
        <v>-204436.55872</v>
      </c>
      <c r="F6" s="6" t="n">
        <f aca="false">F4-F5</f>
        <v>113459.320584</v>
      </c>
    </row>
    <row r="7" customFormat="false" ht="15" hidden="false" customHeight="false" outlineLevel="0" collapsed="false">
      <c r="A7" s="4" t="s">
        <v>11</v>
      </c>
      <c r="B7" s="5" t="n">
        <f aca="false">B6</f>
        <v>-924367.219</v>
      </c>
      <c r="C7" s="5" t="n">
        <f aca="false">B7+C6</f>
        <v>-1713444.819</v>
      </c>
      <c r="D7" s="6" t="n">
        <f aca="false">C7+D6</f>
        <v>-2252075.979</v>
      </c>
      <c r="E7" s="6" t="n">
        <f aca="false">D7+E6</f>
        <v>-2456512.53772</v>
      </c>
      <c r="F7" s="6" t="n">
        <f aca="false">E7+F6</f>
        <v>-2343053.217136</v>
      </c>
    </row>
    <row r="8" customFormat="false" ht="15" hidden="false" customHeight="false" outlineLevel="0" collapsed="false">
      <c r="A8" s="4" t="s">
        <v>12</v>
      </c>
      <c r="B8" s="7" t="n">
        <f aca="false">Revenue!C5</f>
        <v>2</v>
      </c>
      <c r="C8" s="7" t="n">
        <f aca="false">Revenue!D5</f>
        <v>8</v>
      </c>
      <c r="D8" s="8" t="n">
        <f aca="false">Revenue!E5</f>
        <v>15</v>
      </c>
      <c r="E8" s="8" t="n">
        <f aca="false">Revenue!F5</f>
        <v>21</v>
      </c>
      <c r="F8" s="8" t="n">
        <f aca="false">Revenue!G5</f>
        <v>26</v>
      </c>
    </row>
    <row r="9" customFormat="false" ht="15" hidden="false" customHeight="false" outlineLevel="0" collapsed="false">
      <c r="A9" s="4" t="s">
        <v>13</v>
      </c>
      <c r="B9" s="5" t="n">
        <f aca="false">Revenue!C12</f>
        <v>115200</v>
      </c>
      <c r="C9" s="5" t="n">
        <f aca="false">Revenue!D12</f>
        <v>460800</v>
      </c>
      <c r="D9" s="6" t="n">
        <f aca="false">Revenue!E12</f>
        <v>889920</v>
      </c>
      <c r="E9" s="6" t="n">
        <f aca="false">Revenue!F12</f>
        <v>1283264.64</v>
      </c>
      <c r="F9" s="6" t="n">
        <f aca="false">Revenue!G12</f>
        <v>1636467.9552</v>
      </c>
    </row>
    <row r="10" customFormat="false" ht="15" hidden="false" customHeight="false" outlineLevel="0" collapsed="false">
      <c r="A10" s="4" t="s">
        <v>14</v>
      </c>
      <c r="B10" s="9"/>
      <c r="C10" s="9" t="n">
        <f aca="false">C5/Revenue!D7</f>
        <v>19.9492638888889</v>
      </c>
      <c r="D10" s="10" t="n">
        <f aca="false">D5/Revenue!E7</f>
        <v>21.9947269417476</v>
      </c>
      <c r="E10" s="10" t="n">
        <f aca="false">E5/Revenue!F7</f>
        <v>22.5237494684806</v>
      </c>
      <c r="F10" s="10" t="n">
        <f aca="false">F5/Revenue!G7</f>
        <v>22.65064494189</v>
      </c>
    </row>
    <row r="11" customFormat="false" ht="15" hidden="false" customHeight="false" outlineLevel="0" collapsed="false">
      <c r="A11" s="4"/>
      <c r="B11" s="4"/>
      <c r="C11" s="4"/>
      <c r="D11" s="11"/>
      <c r="E11" s="11"/>
      <c r="F11" s="11"/>
    </row>
    <row r="12" customFormat="false" ht="28.35" hidden="false" customHeight="false" outlineLevel="0" collapsed="false">
      <c r="A12" s="12" t="s">
        <v>15</v>
      </c>
      <c r="B12" s="5" t="n">
        <f aca="false">-MIN(0,B7,C7,D7,E7,F7)</f>
        <v>2456512.53772</v>
      </c>
      <c r="C12" s="4"/>
      <c r="D12" s="11"/>
      <c r="E12" s="11"/>
      <c r="F12" s="11"/>
    </row>
    <row r="13" customFormat="false" ht="28.35" hidden="false" customHeight="false" outlineLevel="0" collapsed="false">
      <c r="A13" s="12" t="s">
        <v>16</v>
      </c>
      <c r="B13" s="5" t="n">
        <f aca="false">B12+C5/2</f>
        <v>3031051.33772</v>
      </c>
      <c r="C13" s="4"/>
      <c r="D13" s="11"/>
      <c r="E13" s="11"/>
      <c r="F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</row>
    <row r="4" customFormat="false" ht="28.35" hidden="false" customHeight="false" outlineLevel="0" collapsed="false">
      <c r="A4" s="4" t="s">
        <v>22</v>
      </c>
      <c r="B4" s="13" t="n">
        <v>52</v>
      </c>
      <c r="C4" s="4" t="s">
        <v>23</v>
      </c>
    </row>
    <row r="5" customFormat="false" ht="15" hidden="false" customHeight="false" outlineLevel="0" collapsed="false">
      <c r="A5" s="4" t="s">
        <v>24</v>
      </c>
      <c r="B5" s="14" t="n">
        <v>36000</v>
      </c>
      <c r="C5" s="4"/>
    </row>
    <row r="6" customFormat="false" ht="15" hidden="false" customHeight="false" outlineLevel="0" collapsed="false">
      <c r="A6" s="4" t="s">
        <v>25</v>
      </c>
      <c r="B6" s="14" t="n">
        <v>60000</v>
      </c>
      <c r="C6" s="4"/>
    </row>
    <row r="7" customFormat="false" ht="15" hidden="false" customHeight="false" outlineLevel="0" collapsed="false">
      <c r="A7" s="4" t="s">
        <v>26</v>
      </c>
      <c r="B7" s="14" t="n">
        <v>96000</v>
      </c>
      <c r="C7" s="4"/>
    </row>
    <row r="8" customFormat="false" ht="15" hidden="false" customHeight="false" outlineLevel="0" collapsed="false">
      <c r="A8" s="4" t="s">
        <v>27</v>
      </c>
      <c r="B8" s="15" t="n">
        <v>0.4</v>
      </c>
      <c r="C8" s="4"/>
    </row>
    <row r="9" customFormat="false" ht="15" hidden="false" customHeight="false" outlineLevel="0" collapsed="false">
      <c r="A9" s="4" t="s">
        <v>28</v>
      </c>
      <c r="B9" s="15" t="n">
        <v>0.4</v>
      </c>
      <c r="C9" s="4"/>
    </row>
    <row r="10" customFormat="false" ht="15" hidden="false" customHeight="false" outlineLevel="0" collapsed="false">
      <c r="A10" s="4" t="s">
        <v>29</v>
      </c>
      <c r="B10" s="15" t="n">
        <v>0.2</v>
      </c>
      <c r="C10" s="4"/>
    </row>
    <row r="11" customFormat="false" ht="15" hidden="false" customHeight="false" outlineLevel="0" collapsed="false">
      <c r="A11" s="4" t="s">
        <v>30</v>
      </c>
      <c r="B11" s="14" t="n">
        <v>7500</v>
      </c>
      <c r="C11" s="4" t="s">
        <v>31</v>
      </c>
    </row>
    <row r="12" customFormat="false" ht="15" hidden="false" customHeight="false" outlineLevel="0" collapsed="false">
      <c r="A12" s="4" t="s">
        <v>32</v>
      </c>
      <c r="B12" s="14" t="n">
        <v>12500</v>
      </c>
      <c r="C12" s="4"/>
    </row>
    <row r="13" customFormat="false" ht="15" hidden="false" customHeight="false" outlineLevel="0" collapsed="false">
      <c r="A13" s="4" t="s">
        <v>33</v>
      </c>
      <c r="B13" s="14" t="n">
        <v>20000</v>
      </c>
      <c r="C13" s="4"/>
    </row>
    <row r="14" customFormat="false" ht="15" hidden="false" customHeight="false" outlineLevel="0" collapsed="false">
      <c r="A14" s="4" t="s">
        <v>34</v>
      </c>
      <c r="B14" s="16" t="n">
        <v>0.03</v>
      </c>
      <c r="C14" s="4"/>
    </row>
    <row r="15" customFormat="false" ht="15" hidden="false" customHeight="false" outlineLevel="0" collapsed="false">
      <c r="A15" s="4" t="s">
        <v>35</v>
      </c>
      <c r="B15" s="15" t="n">
        <v>0.5</v>
      </c>
      <c r="C15" s="4" t="s">
        <v>36</v>
      </c>
    </row>
    <row r="16" customFormat="false" ht="15" hidden="false" customHeight="false" outlineLevel="0" collapsed="false">
      <c r="A16" s="4" t="s">
        <v>37</v>
      </c>
      <c r="B16" s="13" t="n">
        <v>6</v>
      </c>
      <c r="C16" s="4" t="s">
        <v>38</v>
      </c>
    </row>
    <row r="17" customFormat="false" ht="15" hidden="false" customHeight="false" outlineLevel="0" collapsed="false">
      <c r="A17" s="4" t="s">
        <v>39</v>
      </c>
      <c r="B17" s="13" t="n">
        <v>2</v>
      </c>
      <c r="C17" s="4" t="s">
        <v>40</v>
      </c>
    </row>
    <row r="18" customFormat="false" ht="15" hidden="false" customHeight="false" outlineLevel="0" collapsed="false">
      <c r="A18" s="4" t="s">
        <v>41</v>
      </c>
      <c r="B18" s="13" t="n">
        <v>8</v>
      </c>
      <c r="C18" s="4" t="s">
        <v>42</v>
      </c>
    </row>
    <row r="19" customFormat="false" ht="15" hidden="false" customHeight="false" outlineLevel="0" collapsed="false">
      <c r="A19" s="4" t="s">
        <v>43</v>
      </c>
      <c r="B19" s="13" t="n">
        <v>15</v>
      </c>
      <c r="C19" s="4"/>
    </row>
    <row r="20" customFormat="false" ht="15" hidden="false" customHeight="false" outlineLevel="0" collapsed="false">
      <c r="A20" s="4" t="s">
        <v>44</v>
      </c>
      <c r="B20" s="13" t="n">
        <v>21</v>
      </c>
      <c r="C20" s="4"/>
    </row>
    <row r="21" customFormat="false" ht="15" hidden="false" customHeight="false" outlineLevel="0" collapsed="false">
      <c r="A21" s="4" t="s">
        <v>45</v>
      </c>
      <c r="B21" s="13" t="n">
        <v>26</v>
      </c>
      <c r="C21" s="4" t="s">
        <v>46</v>
      </c>
    </row>
    <row r="22" customFormat="false" ht="15" hidden="false" customHeight="false" outlineLevel="0" collapsed="false">
      <c r="A22" s="4" t="s">
        <v>47</v>
      </c>
      <c r="B22" s="15" t="n">
        <v>0.22</v>
      </c>
      <c r="C22" s="4" t="s">
        <v>48</v>
      </c>
    </row>
    <row r="23" customFormat="false" ht="15" hidden="false" customHeight="false" outlineLevel="0" collapsed="false">
      <c r="A23" s="4" t="s">
        <v>49</v>
      </c>
      <c r="B23" s="15" t="n">
        <v>0.04</v>
      </c>
      <c r="C23" s="4"/>
    </row>
    <row r="24" customFormat="false" ht="15" hidden="false" customHeight="false" outlineLevel="0" collapsed="false">
      <c r="A24" s="4" t="s">
        <v>50</v>
      </c>
      <c r="B24" s="15" t="n">
        <v>0.1</v>
      </c>
      <c r="C24" s="4"/>
    </row>
    <row r="25" customFormat="false" ht="15" hidden="false" customHeight="false" outlineLevel="0" collapsed="false">
      <c r="A25" s="4" t="s">
        <v>51</v>
      </c>
      <c r="B25" s="14" t="n">
        <v>2500</v>
      </c>
      <c r="C25" s="4" t="s">
        <v>52</v>
      </c>
    </row>
    <row r="26" customFormat="false" ht="15" hidden="false" customHeight="false" outlineLevel="0" collapsed="false">
      <c r="A26" s="4" t="s">
        <v>53</v>
      </c>
      <c r="B26" s="14" t="n">
        <v>150</v>
      </c>
      <c r="C26" s="4" t="s">
        <v>54</v>
      </c>
    </row>
    <row r="27" customFormat="false" ht="15" hidden="false" customHeight="false" outlineLevel="0" collapsed="false">
      <c r="A27" s="4" t="s">
        <v>55</v>
      </c>
      <c r="B27" s="14" t="n">
        <v>120</v>
      </c>
      <c r="C27" s="4" t="s">
        <v>56</v>
      </c>
    </row>
    <row r="28" customFormat="false" ht="15" hidden="false" customHeight="false" outlineLevel="0" collapsed="false">
      <c r="A28" s="4" t="s">
        <v>57</v>
      </c>
      <c r="B28" s="16" t="n">
        <v>0.005</v>
      </c>
      <c r="C28" s="4" t="s">
        <v>58</v>
      </c>
    </row>
    <row r="29" customFormat="false" ht="15" hidden="false" customHeight="false" outlineLevel="0" collapsed="false">
      <c r="A29" s="4" t="s">
        <v>59</v>
      </c>
      <c r="B29" s="15" t="n">
        <v>0.15</v>
      </c>
      <c r="C29" s="4"/>
    </row>
    <row r="30" customFormat="false" ht="15" hidden="false" customHeight="false" outlineLevel="0" collapsed="false">
      <c r="A30" s="4" t="s">
        <v>60</v>
      </c>
      <c r="B30" s="15" t="n">
        <v>0.1</v>
      </c>
      <c r="C30" s="4"/>
    </row>
    <row r="31" customFormat="false" ht="15" hidden="false" customHeight="false" outlineLevel="0" collapsed="false">
      <c r="A31" s="4"/>
      <c r="B31" s="4"/>
      <c r="C31" s="4"/>
    </row>
    <row r="32" customFormat="false" ht="15" hidden="false" customHeight="false" outlineLevel="0" collapsed="false">
      <c r="A32" s="12" t="s">
        <v>61</v>
      </c>
      <c r="B32" s="5" t="n">
        <f aca="false">PriceEss*MixEss+PricePro*MixPro+PriceEnt*MixEnt</f>
        <v>57600</v>
      </c>
      <c r="C32" s="4"/>
    </row>
    <row r="33" customFormat="false" ht="15" hidden="false" customHeight="false" outlineLevel="0" collapsed="false">
      <c r="A33" s="12" t="s">
        <v>62</v>
      </c>
      <c r="B33" s="5" t="n">
        <f aca="false">ImplEss*MixEss+ImplPro*MixPro+ImplEnt*MixEnt</f>
        <v>12000</v>
      </c>
      <c r="C33" s="4"/>
    </row>
    <row r="34" customFormat="false" ht="15" hidden="false" customHeight="false" outlineLevel="0" collapsed="false">
      <c r="A34" s="12" t="s">
        <v>63</v>
      </c>
      <c r="B34" s="5" t="n">
        <f aca="false">Market*Blended</f>
        <v>2995200</v>
      </c>
      <c r="C3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A3" s="3" t="s">
        <v>2</v>
      </c>
      <c r="B3" s="3" t="s">
        <v>66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</row>
    <row r="4" customFormat="false" ht="15" hidden="false" customHeight="false" outlineLevel="0" collapsed="false">
      <c r="A4" s="4" t="s">
        <v>67</v>
      </c>
      <c r="B4" s="4" t="s">
        <v>68</v>
      </c>
      <c r="C4" s="7" t="n">
        <v>0</v>
      </c>
      <c r="D4" s="8" t="n">
        <f aca="false">C5</f>
        <v>2</v>
      </c>
      <c r="E4" s="8" t="n">
        <f aca="false">D5</f>
        <v>8</v>
      </c>
      <c r="F4" s="8" t="n">
        <f aca="false">E5</f>
        <v>15</v>
      </c>
      <c r="G4" s="8" t="n">
        <f aca="false">F5</f>
        <v>21</v>
      </c>
    </row>
    <row r="5" customFormat="false" ht="15" hidden="false" customHeight="false" outlineLevel="0" collapsed="false">
      <c r="A5" s="4" t="s">
        <v>69</v>
      </c>
      <c r="B5" s="4" t="s">
        <v>70</v>
      </c>
      <c r="C5" s="7" t="n">
        <f aca="false">Cust2027</f>
        <v>2</v>
      </c>
      <c r="D5" s="8" t="n">
        <f aca="false">Cust2028</f>
        <v>8</v>
      </c>
      <c r="E5" s="8" t="n">
        <f aca="false">Cust2029</f>
        <v>15</v>
      </c>
      <c r="F5" s="8" t="n">
        <f aca="false">Cust2030</f>
        <v>21</v>
      </c>
      <c r="G5" s="8" t="n">
        <f aca="false">Cust2031</f>
        <v>26</v>
      </c>
    </row>
    <row r="6" customFormat="false" ht="15" hidden="false" customHeight="false" outlineLevel="0" collapsed="false">
      <c r="A6" s="4" t="s">
        <v>71</v>
      </c>
      <c r="B6" s="4" t="s">
        <v>72</v>
      </c>
      <c r="C6" s="9" t="n">
        <f aca="false">(C4+C5)/2</f>
        <v>1</v>
      </c>
      <c r="D6" s="10" t="n">
        <f aca="false">(D4+D5)/2</f>
        <v>5</v>
      </c>
      <c r="E6" s="10" t="n">
        <f aca="false">(E4+E5)/2</f>
        <v>11.5</v>
      </c>
      <c r="F6" s="10" t="n">
        <f aca="false">(F4+F5)/2</f>
        <v>18</v>
      </c>
      <c r="G6" s="10" t="n">
        <f aca="false">(G4+G5)/2</f>
        <v>23.5</v>
      </c>
    </row>
    <row r="7" customFormat="false" ht="15" hidden="false" customHeight="false" outlineLevel="0" collapsed="false">
      <c r="A7" s="4" t="s">
        <v>73</v>
      </c>
      <c r="B7" s="4" t="s">
        <v>74</v>
      </c>
      <c r="C7" s="5" t="n">
        <f aca="false">Blended*(1+Uplift)^MAX(0,C3-2028)</f>
        <v>57600</v>
      </c>
      <c r="D7" s="6" t="n">
        <f aca="false">Blended*(1+Uplift)^MAX(0,D3-2028)</f>
        <v>57600</v>
      </c>
      <c r="E7" s="6" t="n">
        <f aca="false">Blended*(1+Uplift)^MAX(0,E3-2028)</f>
        <v>59328</v>
      </c>
      <c r="F7" s="6" t="n">
        <f aca="false">Blended*(1+Uplift)^MAX(0,F3-2028)</f>
        <v>61107.84</v>
      </c>
      <c r="G7" s="6" t="n">
        <f aca="false">Blended*(1+Uplift)^MAX(0,G3-2028)</f>
        <v>62941.0752</v>
      </c>
    </row>
    <row r="8" customFormat="false" ht="15" hidden="false" customHeight="false" outlineLevel="0" collapsed="false">
      <c r="A8" s="4" t="s">
        <v>75</v>
      </c>
      <c r="B8" s="4" t="s">
        <v>76</v>
      </c>
      <c r="C8" s="5" t="n">
        <f aca="false">C5*Blended*(1-PilotDisc)*PilotMonths/12</f>
        <v>28800</v>
      </c>
      <c r="D8" s="6" t="n">
        <f aca="false">D6*D7</f>
        <v>288000</v>
      </c>
      <c r="E8" s="6" t="n">
        <f aca="false">E6*E7</f>
        <v>682272</v>
      </c>
      <c r="F8" s="6" t="n">
        <f aca="false">F6*F7</f>
        <v>1099941.12</v>
      </c>
      <c r="G8" s="6" t="n">
        <f aca="false">G6*G7</f>
        <v>1479115.2672</v>
      </c>
    </row>
    <row r="9" customFormat="false" ht="15" hidden="false" customHeight="false" outlineLevel="0" collapsed="false">
      <c r="A9" s="4" t="s">
        <v>77</v>
      </c>
      <c r="B9" s="4" t="s">
        <v>78</v>
      </c>
      <c r="C9" s="7" t="n">
        <f aca="false">C5-C4</f>
        <v>2</v>
      </c>
      <c r="D9" s="8" t="n">
        <f aca="false">D5-D4</f>
        <v>6</v>
      </c>
      <c r="E9" s="8" t="n">
        <f aca="false">E5-E4</f>
        <v>7</v>
      </c>
      <c r="F9" s="8" t="n">
        <f aca="false">F5-F4</f>
        <v>6</v>
      </c>
      <c r="G9" s="8" t="n">
        <f aca="false">G5-G4</f>
        <v>5</v>
      </c>
    </row>
    <row r="10" customFormat="false" ht="15" hidden="false" customHeight="false" outlineLevel="0" collapsed="false">
      <c r="A10" s="4" t="s">
        <v>79</v>
      </c>
      <c r="B10" s="4" t="s">
        <v>80</v>
      </c>
      <c r="C10" s="5" t="n">
        <v>0</v>
      </c>
      <c r="D10" s="6" t="n">
        <f aca="false">D9*BlendedImpl</f>
        <v>72000</v>
      </c>
      <c r="E10" s="6" t="n">
        <f aca="false">E9*BlendedImpl</f>
        <v>84000</v>
      </c>
      <c r="F10" s="6" t="n">
        <f aca="false">F9*BlendedImpl</f>
        <v>72000</v>
      </c>
      <c r="G10" s="6" t="n">
        <f aca="false">G9*BlendedImpl</f>
        <v>60000</v>
      </c>
    </row>
    <row r="11" customFormat="false" ht="15" hidden="false" customHeight="false" outlineLevel="0" collapsed="false">
      <c r="A11" s="17" t="s">
        <v>81</v>
      </c>
      <c r="B11" s="17"/>
      <c r="C11" s="18" t="n">
        <f aca="false">C8+C10</f>
        <v>28800</v>
      </c>
      <c r="D11" s="19" t="n">
        <f aca="false">D8+D10</f>
        <v>360000</v>
      </c>
      <c r="E11" s="19" t="n">
        <f aca="false">E8+E10</f>
        <v>766272</v>
      </c>
      <c r="F11" s="19" t="n">
        <f aca="false">F8+F10</f>
        <v>1171941.12</v>
      </c>
      <c r="G11" s="19" t="n">
        <f aca="false">G8+G10</f>
        <v>1539115.2672</v>
      </c>
    </row>
    <row r="12" customFormat="false" ht="15" hidden="false" customHeight="false" outlineLevel="0" collapsed="false">
      <c r="A12" s="4" t="s">
        <v>13</v>
      </c>
      <c r="B12" s="4" t="s">
        <v>82</v>
      </c>
      <c r="C12" s="5" t="n">
        <f aca="false">C5*C7</f>
        <v>115200</v>
      </c>
      <c r="D12" s="6" t="n">
        <f aca="false">D5*D7</f>
        <v>460800</v>
      </c>
      <c r="E12" s="6" t="n">
        <f aca="false">E5*E7</f>
        <v>889920</v>
      </c>
      <c r="F12" s="6" t="n">
        <f aca="false">F5*F7</f>
        <v>1283264.64</v>
      </c>
      <c r="G12" s="6" t="n">
        <f aca="false">G5*G7</f>
        <v>1636467.9552</v>
      </c>
    </row>
    <row r="13" customFormat="false" ht="15" hidden="false" customHeight="false" outlineLevel="0" collapsed="false">
      <c r="A13" s="4" t="s">
        <v>83</v>
      </c>
      <c r="B13" s="4" t="s">
        <v>84</v>
      </c>
      <c r="C13" s="20" t="n">
        <f aca="false">C5/Market</f>
        <v>0.0384615384615385</v>
      </c>
      <c r="D13" s="21" t="n">
        <f aca="false">D5/Market</f>
        <v>0.153846153846154</v>
      </c>
      <c r="E13" s="21" t="n">
        <f aca="false">E5/Market</f>
        <v>0.288461538461538</v>
      </c>
      <c r="F13" s="21" t="n">
        <f aca="false">F5/Market</f>
        <v>0.403846153846154</v>
      </c>
      <c r="G13" s="21" t="n">
        <f aca="false">G5/Market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3" customFormat="false" ht="28.35" hidden="false" customHeight="false" outlineLevel="0" collapsed="false">
      <c r="A3" s="3" t="s">
        <v>87</v>
      </c>
      <c r="B3" s="3" t="s">
        <v>88</v>
      </c>
      <c r="C3" s="3" t="s">
        <v>66</v>
      </c>
      <c r="D3" s="3" t="s">
        <v>89</v>
      </c>
      <c r="E3" s="3" t="s">
        <v>90</v>
      </c>
      <c r="F3" s="3" t="s">
        <v>91</v>
      </c>
      <c r="G3" s="3" t="s">
        <v>92</v>
      </c>
    </row>
    <row r="4" customFormat="false" ht="15" hidden="false" customHeight="false" outlineLevel="0" collapsed="false">
      <c r="A4" s="4" t="s">
        <v>93</v>
      </c>
      <c r="B4" s="4" t="s">
        <v>94</v>
      </c>
      <c r="C4" s="4" t="s">
        <v>95</v>
      </c>
      <c r="D4" s="22" t="n">
        <v>10000</v>
      </c>
      <c r="E4" s="23" t="n">
        <v>15</v>
      </c>
      <c r="F4" s="6" t="n">
        <f aca="false">D4*E4</f>
        <v>150000</v>
      </c>
      <c r="G4" s="11" t="s">
        <v>96</v>
      </c>
    </row>
    <row r="5" customFormat="false" ht="15" hidden="false" customHeight="false" outlineLevel="0" collapsed="false">
      <c r="A5" s="4" t="s">
        <v>93</v>
      </c>
      <c r="B5" s="4" t="s">
        <v>97</v>
      </c>
      <c r="C5" s="4" t="s">
        <v>98</v>
      </c>
      <c r="D5" s="22" t="n">
        <v>14167</v>
      </c>
      <c r="E5" s="23" t="n">
        <v>12</v>
      </c>
      <c r="F5" s="6" t="n">
        <f aca="false">D5*E5</f>
        <v>170004</v>
      </c>
      <c r="G5" s="11" t="s">
        <v>99</v>
      </c>
    </row>
    <row r="6" customFormat="false" ht="15" hidden="false" customHeight="false" outlineLevel="0" collapsed="false">
      <c r="A6" s="4" t="s">
        <v>93</v>
      </c>
      <c r="B6" s="4" t="s">
        <v>100</v>
      </c>
      <c r="C6" s="4" t="s">
        <v>101</v>
      </c>
      <c r="D6" s="22" t="n">
        <v>7917</v>
      </c>
      <c r="E6" s="23" t="n">
        <v>7</v>
      </c>
      <c r="F6" s="6" t="n">
        <f aca="false">D6*E6</f>
        <v>55419</v>
      </c>
      <c r="G6" s="11" t="s">
        <v>102</v>
      </c>
    </row>
    <row r="7" customFormat="false" ht="15" hidden="false" customHeight="false" outlineLevel="0" collapsed="false">
      <c r="A7" s="4" t="s">
        <v>93</v>
      </c>
      <c r="B7" s="4" t="s">
        <v>103</v>
      </c>
      <c r="C7" s="4" t="s">
        <v>104</v>
      </c>
      <c r="D7" s="22" t="n">
        <v>8750</v>
      </c>
      <c r="E7" s="23" t="n">
        <v>3</v>
      </c>
      <c r="F7" s="6" t="n">
        <f aca="false">D7*E7</f>
        <v>26250</v>
      </c>
      <c r="G7" s="11" t="s">
        <v>105</v>
      </c>
    </row>
    <row r="8" customFormat="false" ht="15" hidden="false" customHeight="false" outlineLevel="0" collapsed="false">
      <c r="A8" s="4" t="s">
        <v>93</v>
      </c>
      <c r="B8" s="4" t="s">
        <v>106</v>
      </c>
      <c r="C8" s="4" t="s">
        <v>107</v>
      </c>
      <c r="D8" s="11"/>
      <c r="E8" s="11"/>
      <c r="F8" s="6" t="n">
        <f aca="false">Load*(F4+F5+F6+F7)</f>
        <v>88368.06</v>
      </c>
      <c r="G8" s="11"/>
    </row>
    <row r="9" customFormat="false" ht="15" hidden="false" customHeight="false" outlineLevel="0" collapsed="false">
      <c r="A9" s="4" t="s">
        <v>93</v>
      </c>
      <c r="B9" s="4" t="s">
        <v>108</v>
      </c>
      <c r="C9" s="4" t="s">
        <v>109</v>
      </c>
      <c r="D9" s="22" t="n">
        <v>3000</v>
      </c>
      <c r="E9" s="23" t="n">
        <v>15</v>
      </c>
      <c r="F9" s="6" t="n">
        <f aca="false">D9*E9</f>
        <v>45000</v>
      </c>
      <c r="G9" s="11" t="s">
        <v>110</v>
      </c>
    </row>
    <row r="10" customFormat="false" ht="15" hidden="false" customHeight="false" outlineLevel="0" collapsed="false">
      <c r="A10" s="4" t="s">
        <v>93</v>
      </c>
      <c r="B10" s="4" t="s">
        <v>111</v>
      </c>
      <c r="C10" s="4" t="s">
        <v>112</v>
      </c>
      <c r="D10" s="22" t="n">
        <v>3500</v>
      </c>
      <c r="E10" s="23" t="n">
        <v>12</v>
      </c>
      <c r="F10" s="6" t="n">
        <f aca="false">D10*E10</f>
        <v>42000</v>
      </c>
      <c r="G10" s="11" t="s">
        <v>113</v>
      </c>
    </row>
    <row r="11" customFormat="false" ht="15" hidden="false" customHeight="false" outlineLevel="0" collapsed="false">
      <c r="A11" s="4" t="s">
        <v>93</v>
      </c>
      <c r="B11" s="4" t="s">
        <v>114</v>
      </c>
      <c r="C11" s="4" t="s">
        <v>115</v>
      </c>
      <c r="D11" s="22" t="n">
        <v>2500</v>
      </c>
      <c r="E11" s="23" t="n">
        <v>3</v>
      </c>
      <c r="F11" s="6" t="n">
        <f aca="false">D11*E11</f>
        <v>7500</v>
      </c>
      <c r="G11" s="11"/>
    </row>
    <row r="12" customFormat="false" ht="15" hidden="false" customHeight="false" outlineLevel="0" collapsed="false">
      <c r="A12" s="4" t="s">
        <v>116</v>
      </c>
      <c r="B12" s="4" t="s">
        <v>117</v>
      </c>
      <c r="C12" s="4" t="s">
        <v>118</v>
      </c>
      <c r="D12" s="22" t="n">
        <v>20000</v>
      </c>
      <c r="E12" s="23" t="n">
        <v>1</v>
      </c>
      <c r="F12" s="6" t="n">
        <f aca="false">D12*E12</f>
        <v>20000</v>
      </c>
      <c r="G12" s="11" t="s">
        <v>119</v>
      </c>
    </row>
    <row r="13" customFormat="false" ht="15" hidden="false" customHeight="false" outlineLevel="0" collapsed="false">
      <c r="A13" s="4" t="s">
        <v>116</v>
      </c>
      <c r="B13" s="4" t="s">
        <v>120</v>
      </c>
      <c r="C13" s="4" t="s">
        <v>118</v>
      </c>
      <c r="D13" s="22" t="n">
        <v>7500</v>
      </c>
      <c r="E13" s="23" t="n">
        <v>1</v>
      </c>
      <c r="F13" s="6" t="n">
        <f aca="false">D13*E13</f>
        <v>7500</v>
      </c>
      <c r="G13" s="11" t="s">
        <v>119</v>
      </c>
    </row>
    <row r="14" customFormat="false" ht="15" hidden="false" customHeight="false" outlineLevel="0" collapsed="false">
      <c r="A14" s="4" t="s">
        <v>116</v>
      </c>
      <c r="B14" s="4" t="s">
        <v>121</v>
      </c>
      <c r="C14" s="4" t="s">
        <v>118</v>
      </c>
      <c r="D14" s="22" t="n">
        <v>7500</v>
      </c>
      <c r="E14" s="23" t="n">
        <v>1</v>
      </c>
      <c r="F14" s="6" t="n">
        <f aca="false">D14*E14</f>
        <v>7500</v>
      </c>
      <c r="G14" s="11" t="s">
        <v>122</v>
      </c>
    </row>
    <row r="15" customFormat="false" ht="15" hidden="false" customHeight="false" outlineLevel="0" collapsed="false">
      <c r="A15" s="4" t="s">
        <v>116</v>
      </c>
      <c r="B15" s="4" t="s">
        <v>123</v>
      </c>
      <c r="C15" s="4" t="s">
        <v>118</v>
      </c>
      <c r="D15" s="22" t="n">
        <v>6000</v>
      </c>
      <c r="E15" s="23" t="n">
        <v>1</v>
      </c>
      <c r="F15" s="6" t="n">
        <f aca="false">D15*E15</f>
        <v>6000</v>
      </c>
      <c r="G15" s="11" t="s">
        <v>124</v>
      </c>
    </row>
    <row r="16" customFormat="false" ht="15" hidden="false" customHeight="false" outlineLevel="0" collapsed="false">
      <c r="A16" s="4" t="s">
        <v>116</v>
      </c>
      <c r="B16" s="4" t="s">
        <v>125</v>
      </c>
      <c r="C16" s="4" t="s">
        <v>118</v>
      </c>
      <c r="D16" s="22" t="n">
        <v>3000</v>
      </c>
      <c r="E16" s="23" t="n">
        <v>1</v>
      </c>
      <c r="F16" s="6" t="n">
        <f aca="false">D16*E16</f>
        <v>3000</v>
      </c>
      <c r="G16" s="11" t="s">
        <v>126</v>
      </c>
    </row>
    <row r="17" customFormat="false" ht="15" hidden="false" customHeight="false" outlineLevel="0" collapsed="false">
      <c r="A17" s="4" t="s">
        <v>116</v>
      </c>
      <c r="B17" s="4" t="s">
        <v>127</v>
      </c>
      <c r="C17" s="4" t="s">
        <v>128</v>
      </c>
      <c r="D17" s="22" t="n">
        <v>2500</v>
      </c>
      <c r="E17" s="23" t="n">
        <v>1</v>
      </c>
      <c r="F17" s="6" t="n">
        <f aca="false">D17*E17</f>
        <v>2500</v>
      </c>
      <c r="G17" s="11"/>
    </row>
    <row r="18" customFormat="false" ht="15" hidden="false" customHeight="false" outlineLevel="0" collapsed="false">
      <c r="A18" s="4" t="s">
        <v>116</v>
      </c>
      <c r="B18" s="4" t="s">
        <v>129</v>
      </c>
      <c r="C18" s="4" t="s">
        <v>118</v>
      </c>
      <c r="D18" s="22" t="n">
        <v>25000</v>
      </c>
      <c r="E18" s="23" t="n">
        <v>1</v>
      </c>
      <c r="F18" s="6" t="n">
        <f aca="false">D18*E18</f>
        <v>25000</v>
      </c>
      <c r="G18" s="11" t="s">
        <v>119</v>
      </c>
    </row>
    <row r="19" customFormat="false" ht="15" hidden="false" customHeight="false" outlineLevel="0" collapsed="false">
      <c r="A19" s="4" t="s">
        <v>116</v>
      </c>
      <c r="B19" s="4" t="s">
        <v>130</v>
      </c>
      <c r="C19" s="4" t="s">
        <v>118</v>
      </c>
      <c r="D19" s="22" t="n">
        <v>4000</v>
      </c>
      <c r="E19" s="23" t="n">
        <v>1</v>
      </c>
      <c r="F19" s="6" t="n">
        <f aca="false">D19*E19</f>
        <v>4000</v>
      </c>
      <c r="G19" s="11" t="s">
        <v>119</v>
      </c>
    </row>
    <row r="20" customFormat="false" ht="15" hidden="false" customHeight="false" outlineLevel="0" collapsed="false">
      <c r="A20" s="4" t="s">
        <v>116</v>
      </c>
      <c r="B20" s="4" t="s">
        <v>131</v>
      </c>
      <c r="C20" s="4" t="s">
        <v>132</v>
      </c>
      <c r="D20" s="22" t="n">
        <v>20000</v>
      </c>
      <c r="E20" s="23" t="n">
        <v>1</v>
      </c>
      <c r="F20" s="6" t="n">
        <f aca="false">D20*E20</f>
        <v>20000</v>
      </c>
      <c r="G20" s="11" t="s">
        <v>124</v>
      </c>
    </row>
    <row r="21" customFormat="false" ht="15" hidden="false" customHeight="false" outlineLevel="0" collapsed="false">
      <c r="A21" s="4" t="s">
        <v>116</v>
      </c>
      <c r="B21" s="4" t="s">
        <v>133</v>
      </c>
      <c r="C21" s="4" t="s">
        <v>118</v>
      </c>
      <c r="D21" s="22" t="n">
        <v>10000</v>
      </c>
      <c r="E21" s="23" t="n">
        <v>1</v>
      </c>
      <c r="F21" s="6" t="n">
        <f aca="false">D21*E21</f>
        <v>10000</v>
      </c>
      <c r="G21" s="11" t="s">
        <v>122</v>
      </c>
    </row>
    <row r="22" customFormat="false" ht="15" hidden="false" customHeight="false" outlineLevel="0" collapsed="false">
      <c r="A22" s="4" t="s">
        <v>116</v>
      </c>
      <c r="B22" s="4" t="s">
        <v>134</v>
      </c>
      <c r="C22" s="4" t="s">
        <v>118</v>
      </c>
      <c r="D22" s="22" t="n">
        <v>10000</v>
      </c>
      <c r="E22" s="23" t="n">
        <v>1</v>
      </c>
      <c r="F22" s="6" t="n">
        <f aca="false">D22*E22</f>
        <v>10000</v>
      </c>
      <c r="G22" s="11" t="s">
        <v>122</v>
      </c>
    </row>
    <row r="23" customFormat="false" ht="15" hidden="false" customHeight="false" outlineLevel="0" collapsed="false">
      <c r="A23" s="4" t="s">
        <v>135</v>
      </c>
      <c r="B23" s="4" t="s">
        <v>136</v>
      </c>
      <c r="C23" s="4" t="s">
        <v>137</v>
      </c>
      <c r="D23" s="22" t="n">
        <v>700</v>
      </c>
      <c r="E23" s="23" t="n">
        <v>12</v>
      </c>
      <c r="F23" s="6" t="n">
        <f aca="false">D23*E23</f>
        <v>8400</v>
      </c>
      <c r="G23" s="11" t="s">
        <v>126</v>
      </c>
    </row>
    <row r="24" customFormat="false" ht="15" hidden="false" customHeight="false" outlineLevel="0" collapsed="false">
      <c r="A24" s="4" t="s">
        <v>135</v>
      </c>
      <c r="B24" s="4" t="s">
        <v>138</v>
      </c>
      <c r="C24" s="4" t="s">
        <v>139</v>
      </c>
      <c r="D24" s="22" t="n">
        <v>1800</v>
      </c>
      <c r="E24" s="23" t="n">
        <v>9</v>
      </c>
      <c r="F24" s="6" t="n">
        <f aca="false">D24*E24</f>
        <v>16200</v>
      </c>
      <c r="G24" s="11" t="s">
        <v>140</v>
      </c>
    </row>
    <row r="25" customFormat="false" ht="15" hidden="false" customHeight="false" outlineLevel="0" collapsed="false">
      <c r="A25" s="4" t="s">
        <v>135</v>
      </c>
      <c r="B25" s="4" t="s">
        <v>141</v>
      </c>
      <c r="C25" s="4" t="s">
        <v>142</v>
      </c>
      <c r="D25" s="22" t="n">
        <v>150</v>
      </c>
      <c r="E25" s="23" t="n">
        <v>15</v>
      </c>
      <c r="F25" s="6" t="n">
        <f aca="false">D25*E25</f>
        <v>2250</v>
      </c>
      <c r="G25" s="11" t="s">
        <v>126</v>
      </c>
    </row>
    <row r="26" customFormat="false" ht="15" hidden="false" customHeight="false" outlineLevel="0" collapsed="false">
      <c r="A26" s="4" t="s">
        <v>135</v>
      </c>
      <c r="B26" s="4" t="s">
        <v>143</v>
      </c>
      <c r="C26" s="4" t="s">
        <v>142</v>
      </c>
      <c r="D26" s="22" t="n">
        <v>200</v>
      </c>
      <c r="E26" s="23" t="n">
        <v>15</v>
      </c>
      <c r="F26" s="6" t="n">
        <f aca="false">D26*E26</f>
        <v>3000</v>
      </c>
      <c r="G26" s="11" t="s">
        <v>144</v>
      </c>
    </row>
    <row r="27" customFormat="false" ht="15" hidden="false" customHeight="false" outlineLevel="0" collapsed="false">
      <c r="A27" s="4" t="s">
        <v>135</v>
      </c>
      <c r="B27" s="4" t="s">
        <v>145</v>
      </c>
      <c r="C27" s="4" t="s">
        <v>142</v>
      </c>
      <c r="D27" s="22" t="n">
        <v>400</v>
      </c>
      <c r="E27" s="23" t="n">
        <v>15</v>
      </c>
      <c r="F27" s="6" t="n">
        <f aca="false">D27*E27</f>
        <v>6000</v>
      </c>
      <c r="G27" s="11" t="s">
        <v>96</v>
      </c>
    </row>
    <row r="28" customFormat="false" ht="15" hidden="false" customHeight="false" outlineLevel="0" collapsed="false">
      <c r="A28" s="4" t="s">
        <v>135</v>
      </c>
      <c r="B28" s="4" t="s">
        <v>146</v>
      </c>
      <c r="C28" s="4" t="s">
        <v>147</v>
      </c>
      <c r="D28" s="22" t="n">
        <v>300</v>
      </c>
      <c r="E28" s="23" t="n">
        <v>6</v>
      </c>
      <c r="F28" s="6" t="n">
        <f aca="false">D28*E28</f>
        <v>1800</v>
      </c>
      <c r="G28" s="11" t="s">
        <v>148</v>
      </c>
    </row>
    <row r="29" customFormat="false" ht="15" hidden="false" customHeight="false" outlineLevel="0" collapsed="false">
      <c r="A29" s="4" t="s">
        <v>135</v>
      </c>
      <c r="B29" s="4" t="s">
        <v>149</v>
      </c>
      <c r="C29" s="4" t="s">
        <v>139</v>
      </c>
      <c r="D29" s="22" t="n">
        <v>300</v>
      </c>
      <c r="E29" s="23" t="n">
        <v>9</v>
      </c>
      <c r="F29" s="6" t="n">
        <f aca="false">D29*E29</f>
        <v>2700</v>
      </c>
      <c r="G29" s="11" t="s">
        <v>119</v>
      </c>
    </row>
    <row r="30" customFormat="false" ht="15" hidden="false" customHeight="false" outlineLevel="0" collapsed="false">
      <c r="A30" s="4" t="s">
        <v>135</v>
      </c>
      <c r="B30" s="4" t="s">
        <v>150</v>
      </c>
      <c r="C30" s="4" t="s">
        <v>139</v>
      </c>
      <c r="D30" s="22" t="n">
        <v>50</v>
      </c>
      <c r="E30" s="23" t="n">
        <v>9</v>
      </c>
      <c r="F30" s="6" t="n">
        <f aca="false">D30*E30</f>
        <v>450</v>
      </c>
      <c r="G30" s="11" t="s">
        <v>119</v>
      </c>
    </row>
    <row r="31" customFormat="false" ht="15" hidden="false" customHeight="false" outlineLevel="0" collapsed="false">
      <c r="A31" s="4" t="s">
        <v>135</v>
      </c>
      <c r="B31" s="4" t="s">
        <v>151</v>
      </c>
      <c r="C31" s="4" t="s">
        <v>137</v>
      </c>
      <c r="D31" s="22" t="n">
        <v>1000</v>
      </c>
      <c r="E31" s="23" t="n">
        <v>12</v>
      </c>
      <c r="F31" s="6" t="n">
        <f aca="false">D31*E31</f>
        <v>12000</v>
      </c>
      <c r="G31" s="11" t="s">
        <v>124</v>
      </c>
    </row>
    <row r="32" customFormat="false" ht="15" hidden="false" customHeight="false" outlineLevel="0" collapsed="false">
      <c r="A32" s="4" t="s">
        <v>135</v>
      </c>
      <c r="B32" s="4" t="s">
        <v>152</v>
      </c>
      <c r="C32" s="4" t="s">
        <v>142</v>
      </c>
      <c r="D32" s="22" t="n">
        <v>200</v>
      </c>
      <c r="E32" s="23" t="n">
        <v>15</v>
      </c>
      <c r="F32" s="6" t="n">
        <f aca="false">D32*E32</f>
        <v>3000</v>
      </c>
      <c r="G32" s="11" t="s">
        <v>144</v>
      </c>
    </row>
    <row r="33" customFormat="false" ht="15" hidden="false" customHeight="false" outlineLevel="0" collapsed="false">
      <c r="A33" s="4" t="s">
        <v>135</v>
      </c>
      <c r="B33" s="4" t="s">
        <v>153</v>
      </c>
      <c r="C33" s="4" t="s">
        <v>115</v>
      </c>
      <c r="D33" s="22" t="n">
        <v>2500</v>
      </c>
      <c r="E33" s="23" t="n">
        <v>3</v>
      </c>
      <c r="F33" s="6" t="n">
        <f aca="false">D33*E33</f>
        <v>7500</v>
      </c>
      <c r="G33" s="11"/>
    </row>
    <row r="34" customFormat="false" ht="15" hidden="false" customHeight="false" outlineLevel="0" collapsed="false">
      <c r="A34" s="4" t="s">
        <v>135</v>
      </c>
      <c r="B34" s="4" t="s">
        <v>154</v>
      </c>
      <c r="C34" s="4" t="s">
        <v>155</v>
      </c>
      <c r="D34" s="22" t="n">
        <v>600</v>
      </c>
      <c r="E34" s="23" t="n">
        <v>1</v>
      </c>
      <c r="F34" s="6" t="n">
        <f aca="false">D34*E34</f>
        <v>600</v>
      </c>
      <c r="G34" s="11" t="s">
        <v>156</v>
      </c>
    </row>
    <row r="35" customFormat="false" ht="15" hidden="false" customHeight="false" outlineLevel="0" collapsed="false">
      <c r="A35" s="4" t="s">
        <v>157</v>
      </c>
      <c r="B35" s="4" t="s">
        <v>158</v>
      </c>
      <c r="C35" s="4" t="s">
        <v>159</v>
      </c>
      <c r="D35" s="22" t="n">
        <v>1000</v>
      </c>
      <c r="E35" s="23" t="n">
        <v>9</v>
      </c>
      <c r="F35" s="6" t="n">
        <f aca="false">D35*E35</f>
        <v>9000</v>
      </c>
      <c r="G35" s="11" t="s">
        <v>119</v>
      </c>
    </row>
    <row r="36" customFormat="false" ht="15" hidden="false" customHeight="false" outlineLevel="0" collapsed="false">
      <c r="A36" s="4" t="s">
        <v>157</v>
      </c>
      <c r="B36" s="4" t="s">
        <v>160</v>
      </c>
      <c r="C36" s="4" t="s">
        <v>142</v>
      </c>
      <c r="D36" s="22" t="n">
        <v>100</v>
      </c>
      <c r="E36" s="23" t="n">
        <v>15</v>
      </c>
      <c r="F36" s="6" t="n">
        <f aca="false">D36*E36</f>
        <v>1500</v>
      </c>
      <c r="G36" s="11"/>
    </row>
    <row r="37" customFormat="false" ht="15" hidden="false" customHeight="false" outlineLevel="0" collapsed="false">
      <c r="A37" s="4" t="s">
        <v>157</v>
      </c>
      <c r="B37" s="4" t="s">
        <v>161</v>
      </c>
      <c r="C37" s="4" t="s">
        <v>142</v>
      </c>
      <c r="D37" s="22" t="n">
        <v>700</v>
      </c>
      <c r="E37" s="23" t="n">
        <v>15</v>
      </c>
      <c r="F37" s="6" t="n">
        <f aca="false">D37*E37</f>
        <v>10500</v>
      </c>
      <c r="G37" s="11"/>
    </row>
    <row r="38" customFormat="false" ht="15" hidden="false" customHeight="false" outlineLevel="0" collapsed="false">
      <c r="A38" s="4" t="s">
        <v>157</v>
      </c>
      <c r="B38" s="4" t="s">
        <v>162</v>
      </c>
      <c r="C38" s="4" t="s">
        <v>155</v>
      </c>
      <c r="D38" s="22" t="n">
        <v>1000</v>
      </c>
      <c r="E38" s="23" t="n">
        <v>1</v>
      </c>
      <c r="F38" s="6" t="n">
        <f aca="false">D38*E38</f>
        <v>1000</v>
      </c>
      <c r="G38" s="11"/>
    </row>
    <row r="39" customFormat="false" ht="15" hidden="false" customHeight="false" outlineLevel="0" collapsed="false">
      <c r="A39" s="4" t="s">
        <v>163</v>
      </c>
      <c r="B39" s="4" t="s">
        <v>164</v>
      </c>
      <c r="C39" s="4" t="s">
        <v>118</v>
      </c>
      <c r="D39" s="22" t="n">
        <v>12000</v>
      </c>
      <c r="E39" s="23" t="n">
        <v>1</v>
      </c>
      <c r="F39" s="6" t="n">
        <f aca="false">D39*E39</f>
        <v>12000</v>
      </c>
      <c r="G39" s="11" t="s">
        <v>105</v>
      </c>
    </row>
    <row r="40" customFormat="false" ht="15" hidden="false" customHeight="false" outlineLevel="0" collapsed="false">
      <c r="A40" s="4" t="s">
        <v>163</v>
      </c>
      <c r="B40" s="4" t="s">
        <v>165</v>
      </c>
      <c r="C40" s="4" t="s">
        <v>118</v>
      </c>
      <c r="D40" s="22" t="n">
        <v>6000</v>
      </c>
      <c r="E40" s="23" t="n">
        <v>1</v>
      </c>
      <c r="F40" s="6" t="n">
        <f aca="false">D40*E40</f>
        <v>6000</v>
      </c>
      <c r="G40" s="11" t="s">
        <v>105</v>
      </c>
    </row>
    <row r="41" customFormat="false" ht="15" hidden="false" customHeight="false" outlineLevel="0" collapsed="false">
      <c r="A41" s="4" t="s">
        <v>163</v>
      </c>
      <c r="B41" s="4" t="s">
        <v>166</v>
      </c>
      <c r="C41" s="4" t="s">
        <v>147</v>
      </c>
      <c r="D41" s="22" t="n">
        <v>150</v>
      </c>
      <c r="E41" s="23" t="n">
        <v>6</v>
      </c>
      <c r="F41" s="6" t="n">
        <f aca="false">D41*E41</f>
        <v>900</v>
      </c>
      <c r="G41" s="11" t="s">
        <v>105</v>
      </c>
    </row>
    <row r="42" customFormat="false" ht="15" hidden="false" customHeight="false" outlineLevel="0" collapsed="false">
      <c r="A42" s="4" t="s">
        <v>163</v>
      </c>
      <c r="B42" s="4" t="s">
        <v>167</v>
      </c>
      <c r="C42" s="4" t="s">
        <v>168</v>
      </c>
      <c r="D42" s="22" t="n">
        <v>10000</v>
      </c>
      <c r="E42" s="23" t="n">
        <v>1</v>
      </c>
      <c r="F42" s="6" t="n">
        <f aca="false">D42*E42</f>
        <v>10000</v>
      </c>
      <c r="G42" s="11" t="s">
        <v>105</v>
      </c>
    </row>
    <row r="43" customFormat="false" ht="15" hidden="false" customHeight="false" outlineLevel="0" collapsed="false">
      <c r="A43" s="4" t="s">
        <v>163</v>
      </c>
      <c r="B43" s="4" t="s">
        <v>169</v>
      </c>
      <c r="C43" s="4" t="s">
        <v>170</v>
      </c>
      <c r="D43" s="22" t="n">
        <v>8000</v>
      </c>
      <c r="E43" s="23" t="n">
        <v>1</v>
      </c>
      <c r="F43" s="6" t="n">
        <f aca="false">D43*E43</f>
        <v>8000</v>
      </c>
      <c r="G43" s="11" t="s">
        <v>105</v>
      </c>
    </row>
    <row r="44" customFormat="false" ht="15" hidden="false" customHeight="false" outlineLevel="0" collapsed="false">
      <c r="A44" s="4" t="s">
        <v>163</v>
      </c>
      <c r="B44" s="4" t="s">
        <v>171</v>
      </c>
      <c r="C44" s="4" t="s">
        <v>172</v>
      </c>
      <c r="D44" s="22" t="n">
        <v>2000</v>
      </c>
      <c r="E44" s="23" t="n">
        <v>3</v>
      </c>
      <c r="F44" s="6" t="n">
        <f aca="false">D44*E44</f>
        <v>6000</v>
      </c>
      <c r="G44" s="11" t="s">
        <v>105</v>
      </c>
    </row>
    <row r="45" customFormat="false" ht="15" hidden="false" customHeight="false" outlineLevel="0" collapsed="false">
      <c r="A45" s="4"/>
      <c r="B45" s="4"/>
      <c r="C45" s="4"/>
      <c r="D45" s="11"/>
      <c r="E45" s="11"/>
      <c r="F45" s="11"/>
      <c r="G45" s="11"/>
    </row>
    <row r="46" customFormat="false" ht="15" hidden="false" customHeight="false" outlineLevel="0" collapsed="false">
      <c r="A46" s="24"/>
      <c r="B46" s="24" t="s">
        <v>173</v>
      </c>
      <c r="C46" s="24"/>
      <c r="D46" s="25"/>
      <c r="E46" s="25"/>
      <c r="F46" s="26" t="n">
        <f aca="false">SUM(F4:F11)</f>
        <v>584541.06</v>
      </c>
      <c r="G46" s="25"/>
    </row>
    <row r="47" customFormat="false" ht="15" hidden="false" customHeight="false" outlineLevel="0" collapsed="false">
      <c r="A47" s="24"/>
      <c r="B47" s="24" t="s">
        <v>174</v>
      </c>
      <c r="C47" s="24"/>
      <c r="D47" s="25"/>
      <c r="E47" s="25"/>
      <c r="F47" s="26" t="n">
        <f aca="false">SUM(F12:F22)</f>
        <v>115500</v>
      </c>
      <c r="G47" s="25"/>
    </row>
    <row r="48" customFormat="false" ht="15" hidden="false" customHeight="false" outlineLevel="0" collapsed="false">
      <c r="A48" s="24"/>
      <c r="B48" s="24" t="s">
        <v>175</v>
      </c>
      <c r="C48" s="24"/>
      <c r="D48" s="25"/>
      <c r="E48" s="25"/>
      <c r="F48" s="26" t="n">
        <f aca="false">SUM(F23:F34)</f>
        <v>63900</v>
      </c>
      <c r="G48" s="25"/>
    </row>
    <row r="49" customFormat="false" ht="15" hidden="false" customHeight="false" outlineLevel="0" collapsed="false">
      <c r="A49" s="24"/>
      <c r="B49" s="24" t="s">
        <v>176</v>
      </c>
      <c r="C49" s="24"/>
      <c r="D49" s="25"/>
      <c r="E49" s="25"/>
      <c r="F49" s="26" t="n">
        <f aca="false">SUM(F35:F38)</f>
        <v>22000</v>
      </c>
      <c r="G49" s="25"/>
    </row>
    <row r="50" customFormat="false" ht="15" hidden="false" customHeight="false" outlineLevel="0" collapsed="false">
      <c r="A50" s="24"/>
      <c r="B50" s="24" t="s">
        <v>177</v>
      </c>
      <c r="C50" s="24"/>
      <c r="D50" s="25"/>
      <c r="E50" s="25"/>
      <c r="F50" s="26" t="n">
        <f aca="false">SUM(F39:F44)</f>
        <v>42900</v>
      </c>
      <c r="G50" s="25"/>
    </row>
    <row r="51" customFormat="false" ht="15" hidden="false" customHeight="false" outlineLevel="0" collapsed="false">
      <c r="A51" s="4"/>
      <c r="B51" s="12" t="s">
        <v>178</v>
      </c>
      <c r="C51" s="4"/>
      <c r="D51" s="11"/>
      <c r="E51" s="11"/>
      <c r="F51" s="6" t="n">
        <f aca="false">SUM(F46:F50)</f>
        <v>828841.06</v>
      </c>
      <c r="G51" s="11"/>
    </row>
    <row r="52" customFormat="false" ht="15" hidden="false" customHeight="false" outlineLevel="0" collapsed="false">
      <c r="A52" s="4"/>
      <c r="B52" s="4" t="s">
        <v>179</v>
      </c>
      <c r="C52" s="4"/>
      <c r="D52" s="11"/>
      <c r="E52" s="11"/>
      <c r="F52" s="6" t="n">
        <f aca="false">ContLaunch*F51</f>
        <v>124326.159</v>
      </c>
      <c r="G52" s="11"/>
    </row>
    <row r="53" customFormat="false" ht="15" hidden="false" customHeight="false" outlineLevel="0" collapsed="false">
      <c r="A53" s="17"/>
      <c r="B53" s="17" t="s">
        <v>180</v>
      </c>
      <c r="C53" s="17"/>
      <c r="D53" s="27"/>
      <c r="E53" s="27"/>
      <c r="F53" s="19" t="n">
        <f aca="false">F51+F52</f>
        <v>953167.219</v>
      </c>
      <c r="G53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3" min="3" style="0" width="34"/>
    <col collapsed="false" customWidth="true" hidden="false" outlineLevel="0" max="7" min="4" style="0" width="14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3" customFormat="false" ht="15" hidden="false" customHeight="false" outlineLevel="0" collapsed="false">
      <c r="A3" s="3" t="s">
        <v>87</v>
      </c>
      <c r="B3" s="3" t="s">
        <v>88</v>
      </c>
      <c r="C3" s="3" t="s">
        <v>66</v>
      </c>
      <c r="D3" s="3" t="n">
        <v>2028</v>
      </c>
      <c r="E3" s="3" t="n">
        <v>2029</v>
      </c>
      <c r="F3" s="3" t="n">
        <v>2030</v>
      </c>
      <c r="G3" s="3" t="n">
        <v>2031</v>
      </c>
    </row>
    <row r="4" customFormat="false" ht="15" hidden="false" customHeight="false" outlineLevel="0" collapsed="false">
      <c r="A4" s="4" t="s">
        <v>93</v>
      </c>
      <c r="B4" s="4" t="s">
        <v>183</v>
      </c>
      <c r="C4" s="4" t="s">
        <v>184</v>
      </c>
      <c r="D4" s="6" t="n">
        <f aca="false">IF(D$3&gt;=2028,140000*(1+Raise)^(D$3-2028),0)</f>
        <v>140000</v>
      </c>
      <c r="E4" s="6" t="n">
        <f aca="false">IF(E$3&gt;=2028,140000*(1+Raise)^(E$3-2028),0)</f>
        <v>145600</v>
      </c>
      <c r="F4" s="6" t="n">
        <f aca="false">IF(F$3&gt;=2028,140000*(1+Raise)^(F$3-2028),0)</f>
        <v>151424</v>
      </c>
      <c r="G4" s="6" t="n">
        <f aca="false">IF(G$3&gt;=2028,140000*(1+Raise)^(G$3-2028),0)</f>
        <v>157480.96</v>
      </c>
    </row>
    <row r="5" customFormat="false" ht="15" hidden="false" customHeight="false" outlineLevel="0" collapsed="false">
      <c r="A5" s="4" t="s">
        <v>93</v>
      </c>
      <c r="B5" s="4" t="s">
        <v>185</v>
      </c>
      <c r="C5" s="4" t="s">
        <v>186</v>
      </c>
      <c r="D5" s="6" t="n">
        <f aca="false">IF(D$3&gt;=2028,176800*(1+Raise)^(D$3-2028),0)</f>
        <v>176800</v>
      </c>
      <c r="E5" s="6" t="n">
        <f aca="false">IF(E$3&gt;=2028,176800*(1+Raise)^(E$3-2028),0)</f>
        <v>183872</v>
      </c>
      <c r="F5" s="6" t="n">
        <f aca="false">IF(F$3&gt;=2028,176800*(1+Raise)^(F$3-2028),0)</f>
        <v>191226.88</v>
      </c>
      <c r="G5" s="6" t="n">
        <f aca="false">IF(G$3&gt;=2028,176800*(1+Raise)^(G$3-2028),0)</f>
        <v>198875.9552</v>
      </c>
    </row>
    <row r="6" customFormat="false" ht="15" hidden="false" customHeight="false" outlineLevel="0" collapsed="false">
      <c r="A6" s="4" t="s">
        <v>93</v>
      </c>
      <c r="B6" s="4" t="s">
        <v>187</v>
      </c>
      <c r="C6" s="4" t="s">
        <v>188</v>
      </c>
      <c r="D6" s="6" t="n">
        <f aca="false">IF(D$3&gt;=2028,98800*(1+Raise)^(D$3-2028),0)</f>
        <v>98800</v>
      </c>
      <c r="E6" s="6" t="n">
        <f aca="false">IF(E$3&gt;=2028,98800*(1+Raise)^(E$3-2028),0)</f>
        <v>102752</v>
      </c>
      <c r="F6" s="6" t="n">
        <f aca="false">IF(F$3&gt;=2028,98800*(1+Raise)^(F$3-2028),0)</f>
        <v>106862.08</v>
      </c>
      <c r="G6" s="6" t="n">
        <f aca="false">IF(G$3&gt;=2028,98800*(1+Raise)^(G$3-2028),0)</f>
        <v>111136.5632</v>
      </c>
    </row>
    <row r="7" customFormat="false" ht="15" hidden="false" customHeight="false" outlineLevel="0" collapsed="false">
      <c r="A7" s="4" t="s">
        <v>93</v>
      </c>
      <c r="B7" s="4" t="s">
        <v>189</v>
      </c>
      <c r="C7" s="4" t="s">
        <v>190</v>
      </c>
      <c r="D7" s="6" t="n">
        <f aca="false">IF(D$3&gt;=2028,109200*(1+Raise)^(D$3-2028),0)</f>
        <v>109200</v>
      </c>
      <c r="E7" s="6" t="n">
        <f aca="false">IF(E$3&gt;=2028,109200*(1+Raise)^(E$3-2028),0)</f>
        <v>113568</v>
      </c>
      <c r="F7" s="6" t="n">
        <f aca="false">IF(F$3&gt;=2028,109200*(1+Raise)^(F$3-2028),0)</f>
        <v>118110.72</v>
      </c>
      <c r="G7" s="6" t="n">
        <f aca="false">IF(G$3&gt;=2028,109200*(1+Raise)^(G$3-2028),0)</f>
        <v>122835.1488</v>
      </c>
    </row>
    <row r="8" customFormat="false" ht="15" hidden="false" customHeight="false" outlineLevel="0" collapsed="false">
      <c r="A8" s="4" t="s">
        <v>93</v>
      </c>
      <c r="B8" s="4" t="s">
        <v>191</v>
      </c>
      <c r="C8" s="4" t="s">
        <v>192</v>
      </c>
      <c r="D8" s="6" t="n">
        <f aca="false">IF(D$3&gt;=2029,68000*(1+Raise)^(D$3-2028),0)</f>
        <v>0</v>
      </c>
      <c r="E8" s="6" t="n">
        <f aca="false">IF(E$3&gt;=2029,68000*(1+Raise)^(E$3-2028),0)</f>
        <v>70720</v>
      </c>
      <c r="F8" s="6" t="n">
        <f aca="false">IF(F$3&gt;=2029,68000*(1+Raise)^(F$3-2028),0)</f>
        <v>73548.8</v>
      </c>
      <c r="G8" s="6" t="n">
        <f aca="false">IF(G$3&gt;=2029,68000*(1+Raise)^(G$3-2028),0)</f>
        <v>76490.752</v>
      </c>
    </row>
    <row r="9" customFormat="false" ht="15" hidden="false" customHeight="false" outlineLevel="0" collapsed="false">
      <c r="A9" s="4" t="s">
        <v>93</v>
      </c>
      <c r="B9" s="4" t="s">
        <v>106</v>
      </c>
      <c r="C9" s="4" t="s">
        <v>193</v>
      </c>
      <c r="D9" s="6" t="n">
        <f aca="false">Load*(D4+D5+D6+D7+D8)</f>
        <v>115456</v>
      </c>
      <c r="E9" s="6" t="n">
        <f aca="false">Load*(E4+E5+E6+E7+E8)</f>
        <v>135632.64</v>
      </c>
      <c r="F9" s="6" t="n">
        <f aca="false">Load*(F4+F5+F6+F7+F8)</f>
        <v>141057.9456</v>
      </c>
      <c r="G9" s="6" t="n">
        <f aca="false">Load*(G4+G5+G6+G7+G8)</f>
        <v>146700.263424</v>
      </c>
    </row>
    <row r="10" customFormat="false" ht="15" hidden="false" customHeight="false" outlineLevel="0" collapsed="false">
      <c r="A10" s="4" t="s">
        <v>93</v>
      </c>
      <c r="B10" s="4" t="s">
        <v>194</v>
      </c>
      <c r="C10" s="4" t="s">
        <v>195</v>
      </c>
      <c r="D10" s="6" t="n">
        <f aca="false">Commission*Revenue!D9*Revenue!D7</f>
        <v>34560</v>
      </c>
      <c r="E10" s="6" t="n">
        <f aca="false">Commission*Revenue!E9*Revenue!E7</f>
        <v>41529.6</v>
      </c>
      <c r="F10" s="6" t="n">
        <f aca="false">Commission*Revenue!F9*Revenue!F7</f>
        <v>36664.704</v>
      </c>
      <c r="G10" s="6" t="n">
        <f aca="false">Commission*Revenue!G9*Revenue!G7</f>
        <v>31470.5376</v>
      </c>
    </row>
    <row r="11" customFormat="false" ht="15" hidden="false" customHeight="false" outlineLevel="0" collapsed="false">
      <c r="A11" s="4" t="s">
        <v>93</v>
      </c>
      <c r="B11" s="4" t="s">
        <v>196</v>
      </c>
      <c r="C11" s="4" t="s">
        <v>197</v>
      </c>
      <c r="D11" s="6" t="n">
        <f aca="false">36000*(1+Raise)^(D$3-2028)</f>
        <v>36000</v>
      </c>
      <c r="E11" s="6" t="n">
        <f aca="false">36000*(1+Raise)^(E$3-2028)</f>
        <v>37440</v>
      </c>
      <c r="F11" s="6" t="n">
        <f aca="false">36000*(1+Raise)^(F$3-2028)</f>
        <v>38937.6</v>
      </c>
      <c r="G11" s="6" t="n">
        <f aca="false">36000*(1+Raise)^(G$3-2028)</f>
        <v>40495.104</v>
      </c>
    </row>
    <row r="12" customFormat="false" ht="15" hidden="false" customHeight="false" outlineLevel="0" collapsed="false">
      <c r="A12" s="4" t="s">
        <v>93</v>
      </c>
      <c r="B12" s="4" t="s">
        <v>111</v>
      </c>
      <c r="C12" s="4" t="s">
        <v>198</v>
      </c>
      <c r="D12" s="22" t="n">
        <v>42000</v>
      </c>
      <c r="E12" s="22" t="n">
        <v>42000</v>
      </c>
      <c r="F12" s="22" t="n">
        <v>42000</v>
      </c>
      <c r="G12" s="22" t="n">
        <v>42000</v>
      </c>
    </row>
    <row r="13" customFormat="false" ht="15" hidden="false" customHeight="false" outlineLevel="0" collapsed="false">
      <c r="A13" s="4" t="s">
        <v>93</v>
      </c>
      <c r="B13" s="4" t="s">
        <v>114</v>
      </c>
      <c r="C13" s="4" t="s">
        <v>199</v>
      </c>
      <c r="D13" s="22" t="n">
        <v>0</v>
      </c>
      <c r="E13" s="22" t="n">
        <v>2500</v>
      </c>
      <c r="F13" s="22" t="n">
        <v>2500</v>
      </c>
      <c r="G13" s="22" t="n">
        <v>0</v>
      </c>
    </row>
    <row r="14" customFormat="false" ht="15" hidden="false" customHeight="false" outlineLevel="0" collapsed="false">
      <c r="A14" s="4" t="s">
        <v>135</v>
      </c>
      <c r="B14" s="4" t="s">
        <v>200</v>
      </c>
      <c r="C14" s="4" t="s">
        <v>201</v>
      </c>
      <c r="D14" s="6" t="n">
        <f aca="false">(AWSBase+AWSPerCust*Revenue!D6)*12</f>
        <v>39000</v>
      </c>
      <c r="E14" s="6" t="n">
        <f aca="false">(AWSBase+AWSPerCust*Revenue!E6)*12</f>
        <v>50700</v>
      </c>
      <c r="F14" s="6" t="n">
        <f aca="false">(AWSBase+AWSPerCust*Revenue!F6)*12</f>
        <v>62400</v>
      </c>
      <c r="G14" s="6" t="n">
        <f aca="false">(AWSBase+AWSPerCust*Revenue!G6)*12</f>
        <v>72300</v>
      </c>
    </row>
    <row r="15" customFormat="false" ht="15" hidden="false" customHeight="false" outlineLevel="0" collapsed="false">
      <c r="A15" s="4" t="s">
        <v>135</v>
      </c>
      <c r="B15" s="4" t="s">
        <v>202</v>
      </c>
      <c r="C15" s="4" t="s">
        <v>203</v>
      </c>
      <c r="D15" s="6" t="n">
        <f aca="false">AIPerCust*Revenue!D6*12</f>
        <v>7200</v>
      </c>
      <c r="E15" s="6" t="n">
        <f aca="false">AIPerCust*Revenue!E6*12</f>
        <v>16560</v>
      </c>
      <c r="F15" s="6" t="n">
        <f aca="false">AIPerCust*Revenue!F6*12</f>
        <v>25920</v>
      </c>
      <c r="G15" s="6" t="n">
        <f aca="false">AIPerCust*Revenue!G6*12</f>
        <v>33840</v>
      </c>
    </row>
    <row r="16" customFormat="false" ht="15" hidden="false" customHeight="false" outlineLevel="0" collapsed="false">
      <c r="A16" s="4" t="s">
        <v>135</v>
      </c>
      <c r="B16" s="4" t="s">
        <v>204</v>
      </c>
      <c r="C16" s="4" t="s">
        <v>205</v>
      </c>
      <c r="D16" s="6" t="n">
        <f aca="false">(400+15*Revenue!D6)*12</f>
        <v>5700</v>
      </c>
      <c r="E16" s="6" t="n">
        <f aca="false">(400+15*Revenue!E6)*12</f>
        <v>6870</v>
      </c>
      <c r="F16" s="6" t="n">
        <f aca="false">(400+15*Revenue!F6)*12</f>
        <v>8040</v>
      </c>
      <c r="G16" s="6" t="n">
        <f aca="false">(400+15*Revenue!G6)*12</f>
        <v>9030</v>
      </c>
    </row>
    <row r="17" customFormat="false" ht="15" hidden="false" customHeight="false" outlineLevel="0" collapsed="false">
      <c r="A17" s="4" t="s">
        <v>135</v>
      </c>
      <c r="B17" s="4" t="s">
        <v>206</v>
      </c>
      <c r="C17" s="4" t="s">
        <v>142</v>
      </c>
      <c r="D17" s="22" t="n">
        <v>600</v>
      </c>
      <c r="E17" s="22" t="n">
        <v>600</v>
      </c>
      <c r="F17" s="22" t="n">
        <v>900</v>
      </c>
      <c r="G17" s="22" t="n">
        <v>900</v>
      </c>
    </row>
    <row r="18" customFormat="false" ht="15" hidden="false" customHeight="false" outlineLevel="0" collapsed="false">
      <c r="A18" s="4" t="s">
        <v>135</v>
      </c>
      <c r="B18" s="4" t="s">
        <v>207</v>
      </c>
      <c r="C18" s="4" t="s">
        <v>208</v>
      </c>
      <c r="D18" s="22" t="n">
        <v>15000</v>
      </c>
      <c r="E18" s="22" t="n">
        <v>15000</v>
      </c>
      <c r="F18" s="22" t="n">
        <v>16000</v>
      </c>
      <c r="G18" s="22" t="n">
        <v>16000</v>
      </c>
    </row>
    <row r="19" customFormat="false" ht="15" hidden="false" customHeight="false" outlineLevel="0" collapsed="false">
      <c r="A19" s="4" t="s">
        <v>135</v>
      </c>
      <c r="B19" s="4" t="s">
        <v>209</v>
      </c>
      <c r="C19" s="4" t="s">
        <v>208</v>
      </c>
      <c r="D19" s="22" t="n">
        <v>10800</v>
      </c>
      <c r="E19" s="22" t="n">
        <v>10800</v>
      </c>
      <c r="F19" s="22" t="n">
        <v>14400</v>
      </c>
      <c r="G19" s="22" t="n">
        <v>14400</v>
      </c>
    </row>
    <row r="20" customFormat="false" ht="15" hidden="false" customHeight="false" outlineLevel="0" collapsed="false">
      <c r="A20" s="4" t="s">
        <v>135</v>
      </c>
      <c r="B20" s="4" t="s">
        <v>210</v>
      </c>
      <c r="C20" s="4" t="s">
        <v>211</v>
      </c>
      <c r="D20" s="22" t="n">
        <v>3600</v>
      </c>
      <c r="E20" s="22" t="n">
        <v>4200</v>
      </c>
      <c r="F20" s="22" t="n">
        <v>4800</v>
      </c>
      <c r="G20" s="22" t="n">
        <v>4800</v>
      </c>
    </row>
    <row r="21" customFormat="false" ht="15" hidden="false" customHeight="false" outlineLevel="0" collapsed="false">
      <c r="A21" s="4" t="s">
        <v>135</v>
      </c>
      <c r="B21" s="4" t="s">
        <v>212</v>
      </c>
      <c r="C21" s="4" t="s">
        <v>208</v>
      </c>
      <c r="D21" s="22" t="n">
        <v>2000</v>
      </c>
      <c r="E21" s="22" t="n">
        <v>4500</v>
      </c>
      <c r="F21" s="22" t="n">
        <v>4500</v>
      </c>
      <c r="G21" s="22" t="n">
        <v>3000</v>
      </c>
    </row>
    <row r="22" customFormat="false" ht="15" hidden="false" customHeight="false" outlineLevel="0" collapsed="false">
      <c r="A22" s="4" t="s">
        <v>213</v>
      </c>
      <c r="B22" s="4" t="s">
        <v>214</v>
      </c>
      <c r="C22" s="4" t="s">
        <v>208</v>
      </c>
      <c r="D22" s="22" t="n">
        <v>30000</v>
      </c>
      <c r="E22" s="22" t="n">
        <v>30000</v>
      </c>
      <c r="F22" s="22" t="n">
        <v>32000</v>
      </c>
      <c r="G22" s="22" t="n">
        <v>32000</v>
      </c>
    </row>
    <row r="23" customFormat="false" ht="15" hidden="false" customHeight="false" outlineLevel="0" collapsed="false">
      <c r="A23" s="4" t="s">
        <v>213</v>
      </c>
      <c r="B23" s="4" t="s">
        <v>215</v>
      </c>
      <c r="C23" s="4" t="s">
        <v>208</v>
      </c>
      <c r="D23" s="22" t="n">
        <v>25000</v>
      </c>
      <c r="E23" s="22" t="n">
        <v>25000</v>
      </c>
      <c r="F23" s="22" t="n">
        <v>27000</v>
      </c>
      <c r="G23" s="22" t="n">
        <v>27000</v>
      </c>
    </row>
    <row r="24" customFormat="false" ht="15" hidden="false" customHeight="false" outlineLevel="0" collapsed="false">
      <c r="A24" s="4" t="s">
        <v>213</v>
      </c>
      <c r="B24" s="4" t="s">
        <v>216</v>
      </c>
      <c r="C24" s="4" t="s">
        <v>217</v>
      </c>
      <c r="D24" s="22" t="n">
        <v>12000</v>
      </c>
      <c r="E24" s="22" t="n">
        <v>0</v>
      </c>
      <c r="F24" s="22" t="n">
        <v>0</v>
      </c>
      <c r="G24" s="22" t="n">
        <v>0</v>
      </c>
    </row>
    <row r="25" customFormat="false" ht="15" hidden="false" customHeight="false" outlineLevel="0" collapsed="false">
      <c r="A25" s="4" t="s">
        <v>213</v>
      </c>
      <c r="B25" s="4" t="s">
        <v>218</v>
      </c>
      <c r="C25" s="4" t="s">
        <v>208</v>
      </c>
      <c r="D25" s="22" t="n">
        <v>9000</v>
      </c>
      <c r="E25" s="22" t="n">
        <v>9000</v>
      </c>
      <c r="F25" s="22" t="n">
        <v>9000</v>
      </c>
      <c r="G25" s="22" t="n">
        <v>9000</v>
      </c>
    </row>
    <row r="26" customFormat="false" ht="15" hidden="false" customHeight="false" outlineLevel="0" collapsed="false">
      <c r="A26" s="4" t="s">
        <v>213</v>
      </c>
      <c r="B26" s="4" t="s">
        <v>219</v>
      </c>
      <c r="C26" s="4" t="s">
        <v>208</v>
      </c>
      <c r="D26" s="22" t="n">
        <v>30000</v>
      </c>
      <c r="E26" s="22" t="n">
        <v>30000</v>
      </c>
      <c r="F26" s="22" t="n">
        <v>32000</v>
      </c>
      <c r="G26" s="22" t="n">
        <v>32000</v>
      </c>
    </row>
    <row r="27" customFormat="false" ht="15" hidden="false" customHeight="false" outlineLevel="0" collapsed="false">
      <c r="A27" s="4" t="s">
        <v>213</v>
      </c>
      <c r="B27" s="4" t="s">
        <v>220</v>
      </c>
      <c r="C27" s="4" t="s">
        <v>208</v>
      </c>
      <c r="D27" s="22" t="n">
        <v>5000</v>
      </c>
      <c r="E27" s="22" t="n">
        <v>5000</v>
      </c>
      <c r="F27" s="22" t="n">
        <v>5000</v>
      </c>
      <c r="G27" s="22" t="n">
        <v>5000</v>
      </c>
    </row>
    <row r="28" customFormat="false" ht="15" hidden="false" customHeight="false" outlineLevel="0" collapsed="false">
      <c r="A28" s="4" t="s">
        <v>213</v>
      </c>
      <c r="B28" s="4" t="s">
        <v>221</v>
      </c>
      <c r="C28" s="4" t="s">
        <v>222</v>
      </c>
      <c r="D28" s="22" t="n">
        <v>19500</v>
      </c>
      <c r="E28" s="22" t="n">
        <v>21500</v>
      </c>
      <c r="F28" s="22" t="n">
        <v>23500</v>
      </c>
      <c r="G28" s="22" t="n">
        <v>25500</v>
      </c>
    </row>
    <row r="29" customFormat="false" ht="15" hidden="false" customHeight="false" outlineLevel="0" collapsed="false">
      <c r="A29" s="4" t="s">
        <v>213</v>
      </c>
      <c r="B29" s="4" t="s">
        <v>223</v>
      </c>
      <c r="C29" s="4" t="s">
        <v>208</v>
      </c>
      <c r="D29" s="22" t="n">
        <v>12000</v>
      </c>
      <c r="E29" s="22" t="n">
        <v>12000</v>
      </c>
      <c r="F29" s="22" t="n">
        <v>13000</v>
      </c>
      <c r="G29" s="22" t="n">
        <v>13000</v>
      </c>
    </row>
    <row r="30" customFormat="false" ht="15" hidden="false" customHeight="false" outlineLevel="0" collapsed="false">
      <c r="A30" s="4" t="s">
        <v>163</v>
      </c>
      <c r="B30" s="4" t="s">
        <v>224</v>
      </c>
      <c r="C30" s="4" t="s">
        <v>208</v>
      </c>
      <c r="D30" s="22" t="n">
        <v>15000</v>
      </c>
      <c r="E30" s="22" t="n">
        <v>15000</v>
      </c>
      <c r="F30" s="22" t="n">
        <v>16000</v>
      </c>
      <c r="G30" s="22" t="n">
        <v>16000</v>
      </c>
    </row>
    <row r="31" customFormat="false" ht="15" hidden="false" customHeight="false" outlineLevel="0" collapsed="false">
      <c r="A31" s="4" t="s">
        <v>163</v>
      </c>
      <c r="B31" s="4" t="s">
        <v>225</v>
      </c>
      <c r="C31" s="4" t="s">
        <v>208</v>
      </c>
      <c r="D31" s="22" t="n">
        <v>24000</v>
      </c>
      <c r="E31" s="22" t="n">
        <v>24000</v>
      </c>
      <c r="F31" s="22" t="n">
        <v>24000</v>
      </c>
      <c r="G31" s="22" t="n">
        <v>24000</v>
      </c>
    </row>
    <row r="32" customFormat="false" ht="15" hidden="false" customHeight="false" outlineLevel="0" collapsed="false">
      <c r="A32" s="4" t="s">
        <v>163</v>
      </c>
      <c r="B32" s="4" t="s">
        <v>226</v>
      </c>
      <c r="C32" s="4" t="s">
        <v>227</v>
      </c>
      <c r="D32" s="6" t="n">
        <f aca="false">12000+1500*Revenue!D9</f>
        <v>21000</v>
      </c>
      <c r="E32" s="6" t="n">
        <f aca="false">12000+1500*Revenue!E9</f>
        <v>22500</v>
      </c>
      <c r="F32" s="6" t="n">
        <f aca="false">12000+1500*Revenue!F9</f>
        <v>21000</v>
      </c>
      <c r="G32" s="6" t="n">
        <f aca="false">12000+1500*Revenue!G9</f>
        <v>19500</v>
      </c>
    </row>
    <row r="33" customFormat="false" ht="15" hidden="false" customHeight="false" outlineLevel="0" collapsed="false">
      <c r="A33" s="4" t="s">
        <v>163</v>
      </c>
      <c r="B33" s="4" t="s">
        <v>166</v>
      </c>
      <c r="C33" s="4" t="s">
        <v>208</v>
      </c>
      <c r="D33" s="22" t="n">
        <v>3600</v>
      </c>
      <c r="E33" s="22" t="n">
        <v>3600</v>
      </c>
      <c r="F33" s="22" t="n">
        <v>3600</v>
      </c>
      <c r="G33" s="22" t="n">
        <v>3600</v>
      </c>
    </row>
    <row r="34" customFormat="false" ht="15" hidden="false" customHeight="false" outlineLevel="0" collapsed="false">
      <c r="A34" s="4" t="s">
        <v>163</v>
      </c>
      <c r="B34" s="4" t="s">
        <v>228</v>
      </c>
      <c r="C34" s="4" t="s">
        <v>229</v>
      </c>
      <c r="D34" s="6" t="n">
        <f aca="false">PayFee*Revenue!D11</f>
        <v>1800</v>
      </c>
      <c r="E34" s="6" t="n">
        <f aca="false">PayFee*Revenue!E11</f>
        <v>3831.36</v>
      </c>
      <c r="F34" s="6" t="n">
        <f aca="false">PayFee*Revenue!F11</f>
        <v>5859.7056</v>
      </c>
      <c r="G34" s="6" t="n">
        <f aca="false">PayFee*Revenue!G11</f>
        <v>7695.576336</v>
      </c>
    </row>
    <row r="35" customFormat="false" ht="15" hidden="false" customHeight="false" outlineLevel="0" collapsed="false">
      <c r="A35" s="4"/>
      <c r="B35" s="4"/>
      <c r="C35" s="4"/>
      <c r="D35" s="11"/>
      <c r="E35" s="11"/>
      <c r="F35" s="11"/>
      <c r="G35" s="11"/>
    </row>
    <row r="36" customFormat="false" ht="15" hidden="false" customHeight="false" outlineLevel="0" collapsed="false">
      <c r="A36" s="24"/>
      <c r="B36" s="24" t="s">
        <v>173</v>
      </c>
      <c r="C36" s="24"/>
      <c r="D36" s="26" t="n">
        <f aca="false">SUM(D4:D13)</f>
        <v>752816</v>
      </c>
      <c r="E36" s="26" t="n">
        <f aca="false">SUM(E4:E13)</f>
        <v>875614.24</v>
      </c>
      <c r="F36" s="26" t="n">
        <f aca="false">SUM(F4:F13)</f>
        <v>902332.7296</v>
      </c>
      <c r="G36" s="26" t="n">
        <f aca="false">SUM(G4:G13)</f>
        <v>927485.284224</v>
      </c>
    </row>
    <row r="37" customFormat="false" ht="15" hidden="false" customHeight="false" outlineLevel="0" collapsed="false">
      <c r="A37" s="24"/>
      <c r="B37" s="24" t="s">
        <v>175</v>
      </c>
      <c r="C37" s="24"/>
      <c r="D37" s="26" t="n">
        <f aca="false">SUM(D14:D21)</f>
        <v>83900</v>
      </c>
      <c r="E37" s="26" t="n">
        <f aca="false">SUM(E14:E21)</f>
        <v>109230</v>
      </c>
      <c r="F37" s="26" t="n">
        <f aca="false">SUM(F14:F21)</f>
        <v>136960</v>
      </c>
      <c r="G37" s="26" t="n">
        <f aca="false">SUM(G14:G21)</f>
        <v>154270</v>
      </c>
    </row>
    <row r="38" customFormat="false" ht="15" hidden="false" customHeight="false" outlineLevel="0" collapsed="false">
      <c r="A38" s="24"/>
      <c r="B38" s="24" t="s">
        <v>230</v>
      </c>
      <c r="C38" s="24"/>
      <c r="D38" s="26" t="n">
        <f aca="false">SUM(D22:D29)</f>
        <v>142500</v>
      </c>
      <c r="E38" s="26" t="n">
        <f aca="false">SUM(E22:E29)</f>
        <v>132500</v>
      </c>
      <c r="F38" s="26" t="n">
        <f aca="false">SUM(F22:F29)</f>
        <v>141500</v>
      </c>
      <c r="G38" s="26" t="n">
        <f aca="false">SUM(G22:G29)</f>
        <v>143500</v>
      </c>
    </row>
    <row r="39" customFormat="false" ht="15" hidden="false" customHeight="false" outlineLevel="0" collapsed="false">
      <c r="A39" s="24"/>
      <c r="B39" s="24" t="s">
        <v>177</v>
      </c>
      <c r="C39" s="24"/>
      <c r="D39" s="26" t="n">
        <f aca="false">SUM(D30:D34)</f>
        <v>65400</v>
      </c>
      <c r="E39" s="26" t="n">
        <f aca="false">SUM(E30:E34)</f>
        <v>68931.36</v>
      </c>
      <c r="F39" s="26" t="n">
        <f aca="false">SUM(F30:F34)</f>
        <v>70459.7056</v>
      </c>
      <c r="G39" s="26" t="n">
        <f aca="false">SUM(G30:G34)</f>
        <v>70795.576336</v>
      </c>
    </row>
    <row r="40" customFormat="false" ht="15" hidden="false" customHeight="false" outlineLevel="0" collapsed="false">
      <c r="A40" s="4"/>
      <c r="B40" s="12" t="s">
        <v>178</v>
      </c>
      <c r="C40" s="4"/>
      <c r="D40" s="6" t="n">
        <f aca="false">SUM(D36:D39)</f>
        <v>1044616</v>
      </c>
      <c r="E40" s="6" t="n">
        <f aca="false">SUM(E36:E39)</f>
        <v>1186275.6</v>
      </c>
      <c r="F40" s="6" t="n">
        <f aca="false">SUM(F36:F39)</f>
        <v>1251252.4352</v>
      </c>
      <c r="G40" s="6" t="n">
        <f aca="false">SUM(G36:G39)</f>
        <v>1296050.86056</v>
      </c>
    </row>
    <row r="41" customFormat="false" ht="15" hidden="false" customHeight="false" outlineLevel="0" collapsed="false">
      <c r="A41" s="4"/>
      <c r="B41" s="4" t="s">
        <v>179</v>
      </c>
      <c r="C41" s="4"/>
      <c r="D41" s="6" t="n">
        <f aca="false">ContRun*D40</f>
        <v>104461.6</v>
      </c>
      <c r="E41" s="6" t="n">
        <f aca="false">ContRun*E40</f>
        <v>118627.56</v>
      </c>
      <c r="F41" s="6" t="n">
        <f aca="false">ContRun*F40</f>
        <v>125125.24352</v>
      </c>
      <c r="G41" s="6" t="n">
        <f aca="false">ContRun*G40</f>
        <v>129605.086056</v>
      </c>
    </row>
    <row r="42" customFormat="false" ht="15" hidden="false" customHeight="false" outlineLevel="0" collapsed="false">
      <c r="A42" s="17"/>
      <c r="B42" s="17" t="s">
        <v>231</v>
      </c>
      <c r="C42" s="17"/>
      <c r="D42" s="19" t="n">
        <f aca="false">D40+D41</f>
        <v>1149077.6</v>
      </c>
      <c r="E42" s="19" t="n">
        <f aca="false">E40+E41</f>
        <v>1304903.16</v>
      </c>
      <c r="F42" s="19" t="n">
        <f aca="false">F40+F41</f>
        <v>1376377.67872</v>
      </c>
      <c r="G42" s="19" t="n">
        <f aca="false">G40+G41</f>
        <v>1425655.946616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2026-09-29T11:49:56Z</dcterms:created>
  <dc:creator>openpyxl</dc:creator>
  <dc:description/>
  <dc:language>en-US</dc:language>
  <cp:lastModifiedBy/>
  <dcterms:modified xsi:type="dcterms:W3CDTF">2026-09-29T11:49:56Z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